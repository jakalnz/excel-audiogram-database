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dc7458d5d438e8/OneDrive Documents/Audiology/INF Forms/Audiogram DB/Current Audio 20190724/"/>
    </mc:Choice>
  </mc:AlternateContent>
  <xr:revisionPtr revIDLastSave="28" documentId="8_{F61CD3E5-CA8F-40C4-BB29-602564098478}" xr6:coauthVersionLast="45" xr6:coauthVersionMax="45" xr10:uidLastSave="{D9B8935A-301B-4453-835E-58D1F3CFE2FB}"/>
  <bookViews>
    <workbookView xWindow="-110" yWindow="-110" windowWidth="18220" windowHeight="11760" activeTab="1" xr2:uid="{00000000-000D-0000-FFFF-FFFF00000000}"/>
  </bookViews>
  <sheets>
    <sheet name="Register" sheetId="1" r:id="rId1"/>
    <sheet name="PTA" sheetId="2" r:id="rId2"/>
  </sheets>
  <functionGroups builtInGroupCount="19"/>
  <definedNames>
    <definedName name="_xlnm.Print_Area" localSheetId="1">PTA!$A$1:$Y$166</definedName>
    <definedName name="Z_7D20C5C7_B4E2_4AB1_AF13_7085EF5EAEE1_.wvu.PrintArea" localSheetId="1" hidden="1">PTA!$A$1:$Y$47</definedName>
    <definedName name="Z_7D20C5C7_B4E2_4AB1_AF13_7085EF5EAEE1_.wvu.Rows" localSheetId="1" hidden="1">PTA!$53:$126</definedName>
    <definedName name="Z_7F062E4D_2D0A_4B19_BBFE_B86FED45D933_.wvu.PrintArea" localSheetId="1" hidden="1">PTA!$A$1:$Y$47</definedName>
    <definedName name="Z_7F062E4D_2D0A_4B19_BBFE_B86FED45D933_.wvu.Rows" localSheetId="1" hidden="1">PTA!$53:$126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6" i="2" l="1"/>
  <c r="G89" i="2" l="1"/>
  <c r="P132" i="2" s="1"/>
  <c r="H89" i="2"/>
  <c r="I89" i="2"/>
  <c r="J89" i="2"/>
  <c r="K89" i="2"/>
  <c r="L89" i="2"/>
  <c r="M89" i="2"/>
  <c r="N89" i="2"/>
  <c r="O89" i="2"/>
  <c r="X132" i="2" s="1"/>
  <c r="P89" i="2"/>
  <c r="Y132" i="2" s="1"/>
  <c r="G81" i="2"/>
  <c r="H81" i="2"/>
  <c r="I81" i="2"/>
  <c r="J81" i="2"/>
  <c r="K81" i="2"/>
  <c r="L81" i="2"/>
  <c r="M81" i="2"/>
  <c r="N81" i="2"/>
  <c r="O81" i="2"/>
  <c r="P81" i="2"/>
  <c r="K132" i="2" s="1"/>
  <c r="G72" i="2"/>
  <c r="H72" i="2"/>
  <c r="I72" i="2"/>
  <c r="J72" i="2"/>
  <c r="K72" i="2"/>
  <c r="L72" i="2"/>
  <c r="M72" i="2"/>
  <c r="N72" i="2"/>
  <c r="O72" i="2"/>
  <c r="P72" i="2"/>
  <c r="G63" i="2"/>
  <c r="H63" i="2"/>
  <c r="I63" i="2"/>
  <c r="J63" i="2"/>
  <c r="K63" i="2"/>
  <c r="L63" i="2"/>
  <c r="M63" i="2"/>
  <c r="N63" i="2"/>
  <c r="O63" i="2"/>
  <c r="P63" i="2"/>
  <c r="B132" i="2"/>
  <c r="J132" i="2"/>
  <c r="F89" i="2"/>
  <c r="O132" i="2" s="1"/>
  <c r="F81" i="2"/>
  <c r="A132" i="2" s="1"/>
  <c r="D132" i="2" l="1"/>
  <c r="F132" i="2"/>
  <c r="T132" i="2"/>
  <c r="X131" i="2"/>
  <c r="J131" i="2"/>
  <c r="H132" i="2"/>
  <c r="K131" i="2"/>
  <c r="U131" i="2"/>
  <c r="Q131" i="2"/>
  <c r="T131" i="2"/>
  <c r="B131" i="2"/>
  <c r="R132" i="2"/>
  <c r="V131" i="2"/>
  <c r="I132" i="2"/>
  <c r="G132" i="2"/>
  <c r="W132" i="2"/>
  <c r="V132" i="2"/>
  <c r="W131" i="2"/>
  <c r="U132" i="2"/>
  <c r="Q132" i="2"/>
  <c r="S132" i="2"/>
  <c r="G131" i="2"/>
  <c r="Y131" i="2"/>
  <c r="P131" i="2"/>
  <c r="S131" i="2"/>
  <c r="H131" i="2"/>
  <c r="D131" i="2"/>
  <c r="F131" i="2"/>
  <c r="R131" i="2"/>
  <c r="I131" i="2"/>
  <c r="IB3" i="1" l="1"/>
  <c r="IC3" i="1"/>
  <c r="HX3" i="1"/>
  <c r="HW3" i="1"/>
  <c r="HV3" i="1"/>
  <c r="HU3" i="1"/>
  <c r="HY3" i="1" l="1"/>
  <c r="HZ3" i="1" s="1"/>
  <c r="HT3" i="1"/>
  <c r="IA3" i="1" s="1"/>
  <c r="HS3" i="1"/>
  <c r="IB4" i="1" l="1"/>
  <c r="IB5" i="1"/>
  <c r="IC2" i="1" l="1"/>
  <c r="IC4" i="1"/>
  <c r="IC5" i="1"/>
  <c r="P113" i="2" l="1"/>
  <c r="O113" i="2"/>
  <c r="N113" i="2"/>
  <c r="M113" i="2"/>
  <c r="L113" i="2"/>
  <c r="K113" i="2"/>
  <c r="J113" i="2"/>
  <c r="I113" i="2"/>
  <c r="H113" i="2"/>
  <c r="G113" i="2"/>
  <c r="F113" i="2"/>
  <c r="P112" i="2"/>
  <c r="O112" i="2"/>
  <c r="N112" i="2"/>
  <c r="M112" i="2"/>
  <c r="L112" i="2"/>
  <c r="K112" i="2"/>
  <c r="J112" i="2"/>
  <c r="I112" i="2"/>
  <c r="H112" i="2"/>
  <c r="R112" i="2" s="1"/>
  <c r="G112" i="2"/>
  <c r="F112" i="2"/>
  <c r="P110" i="2"/>
  <c r="O110" i="2"/>
  <c r="N110" i="2"/>
  <c r="M110" i="2"/>
  <c r="L110" i="2"/>
  <c r="K110" i="2"/>
  <c r="J110" i="2"/>
  <c r="I110" i="2"/>
  <c r="H110" i="2"/>
  <c r="G110" i="2"/>
  <c r="F110" i="2"/>
  <c r="P109" i="2"/>
  <c r="O109" i="2"/>
  <c r="N109" i="2"/>
  <c r="M109" i="2"/>
  <c r="L109" i="2"/>
  <c r="K109" i="2"/>
  <c r="J109" i="2"/>
  <c r="I109" i="2"/>
  <c r="H109" i="2"/>
  <c r="G109" i="2"/>
  <c r="F109" i="2"/>
  <c r="P106" i="2"/>
  <c r="O106" i="2"/>
  <c r="N106" i="2"/>
  <c r="M106" i="2"/>
  <c r="L106" i="2"/>
  <c r="K106" i="2"/>
  <c r="J106" i="2"/>
  <c r="I106" i="2"/>
  <c r="H106" i="2"/>
  <c r="G106" i="2"/>
  <c r="F106" i="2"/>
  <c r="P105" i="2"/>
  <c r="O105" i="2"/>
  <c r="N105" i="2"/>
  <c r="M105" i="2"/>
  <c r="L105" i="2"/>
  <c r="K105" i="2"/>
  <c r="J105" i="2"/>
  <c r="I105" i="2"/>
  <c r="H105" i="2"/>
  <c r="G105" i="2"/>
  <c r="F105" i="2"/>
  <c r="P103" i="2"/>
  <c r="O103" i="2"/>
  <c r="N103" i="2"/>
  <c r="M103" i="2"/>
  <c r="L103" i="2"/>
  <c r="K103" i="2"/>
  <c r="J103" i="2"/>
  <c r="I103" i="2"/>
  <c r="H103" i="2"/>
  <c r="G103" i="2"/>
  <c r="F103" i="2"/>
  <c r="P102" i="2"/>
  <c r="O102" i="2"/>
  <c r="N102" i="2"/>
  <c r="M102" i="2"/>
  <c r="L102" i="2"/>
  <c r="K102" i="2"/>
  <c r="J102" i="2"/>
  <c r="I102" i="2"/>
  <c r="H102" i="2"/>
  <c r="G102" i="2"/>
  <c r="F102" i="2"/>
  <c r="O100" i="2"/>
  <c r="N100" i="2"/>
  <c r="M100" i="2"/>
  <c r="L100" i="2"/>
  <c r="K100" i="2"/>
  <c r="J100" i="2"/>
  <c r="I100" i="2"/>
  <c r="H100" i="2"/>
  <c r="O99" i="2"/>
  <c r="N99" i="2"/>
  <c r="M99" i="2"/>
  <c r="L99" i="2"/>
  <c r="K99" i="2"/>
  <c r="J99" i="2"/>
  <c r="I99" i="2"/>
  <c r="H99" i="2"/>
  <c r="O98" i="2"/>
  <c r="N98" i="2"/>
  <c r="M98" i="2"/>
  <c r="L98" i="2"/>
  <c r="K98" i="2"/>
  <c r="J98" i="2"/>
  <c r="I98" i="2"/>
  <c r="H98" i="2"/>
  <c r="O97" i="2"/>
  <c r="N97" i="2"/>
  <c r="M97" i="2"/>
  <c r="L97" i="2"/>
  <c r="K97" i="2"/>
  <c r="J97" i="2"/>
  <c r="I97" i="2"/>
  <c r="H97" i="2"/>
  <c r="O94" i="2"/>
  <c r="O93" i="2"/>
  <c r="I93" i="2"/>
  <c r="O92" i="2"/>
  <c r="N92" i="2"/>
  <c r="N94" i="2" s="1"/>
  <c r="M92" i="2"/>
  <c r="M94" i="2" s="1"/>
  <c r="L92" i="2"/>
  <c r="L94" i="2" s="1"/>
  <c r="K92" i="2"/>
  <c r="K93" i="2" s="1"/>
  <c r="J92" i="2"/>
  <c r="J94" i="2" s="1"/>
  <c r="I92" i="2"/>
  <c r="I94" i="2" s="1"/>
  <c r="H92" i="2"/>
  <c r="H94" i="2" s="1"/>
  <c r="O91" i="2"/>
  <c r="K91" i="2"/>
  <c r="I91" i="2"/>
  <c r="O90" i="2"/>
  <c r="N90" i="2"/>
  <c r="M90" i="2"/>
  <c r="L90" i="2"/>
  <c r="K90" i="2"/>
  <c r="J90" i="2"/>
  <c r="I90" i="2"/>
  <c r="H90" i="2"/>
  <c r="N91" i="2"/>
  <c r="L91" i="2"/>
  <c r="J91" i="2"/>
  <c r="O86" i="2"/>
  <c r="O85" i="2"/>
  <c r="K85" i="2"/>
  <c r="I85" i="2"/>
  <c r="O84" i="2"/>
  <c r="N84" i="2"/>
  <c r="N86" i="2" s="1"/>
  <c r="M84" i="2"/>
  <c r="M86" i="2" s="1"/>
  <c r="L84" i="2"/>
  <c r="L86" i="2" s="1"/>
  <c r="K84" i="2"/>
  <c r="K86" i="2" s="1"/>
  <c r="J84" i="2"/>
  <c r="J86" i="2" s="1"/>
  <c r="I84" i="2"/>
  <c r="I86" i="2" s="1"/>
  <c r="H84" i="2"/>
  <c r="H86" i="2" s="1"/>
  <c r="O83" i="2"/>
  <c r="K83" i="2"/>
  <c r="O82" i="2"/>
  <c r="K82" i="2"/>
  <c r="J82" i="2"/>
  <c r="I82" i="2"/>
  <c r="O87" i="2"/>
  <c r="N82" i="2"/>
  <c r="M83" i="2"/>
  <c r="L83" i="2"/>
  <c r="I83" i="2"/>
  <c r="C132" i="2"/>
  <c r="K77" i="2"/>
  <c r="F77" i="2"/>
  <c r="P76" i="2"/>
  <c r="O76" i="2"/>
  <c r="K76" i="2"/>
  <c r="I76" i="2"/>
  <c r="F76" i="2"/>
  <c r="P75" i="2"/>
  <c r="P77" i="2" s="1"/>
  <c r="O75" i="2"/>
  <c r="O77" i="2" s="1"/>
  <c r="N75" i="2"/>
  <c r="N77" i="2" s="1"/>
  <c r="M75" i="2"/>
  <c r="M77" i="2" s="1"/>
  <c r="L75" i="2"/>
  <c r="L77" i="2" s="1"/>
  <c r="K75" i="2"/>
  <c r="J75" i="2"/>
  <c r="J77" i="2" s="1"/>
  <c r="I75" i="2"/>
  <c r="I77" i="2" s="1"/>
  <c r="H75" i="2"/>
  <c r="H77" i="2" s="1"/>
  <c r="G75" i="2"/>
  <c r="G77" i="2" s="1"/>
  <c r="F75" i="2"/>
  <c r="K74" i="2"/>
  <c r="I74" i="2"/>
  <c r="F74" i="2"/>
  <c r="P73" i="2"/>
  <c r="O73" i="2"/>
  <c r="N73" i="2"/>
  <c r="M73" i="2"/>
  <c r="K73" i="2"/>
  <c r="I73" i="2"/>
  <c r="H73" i="2"/>
  <c r="G73" i="2"/>
  <c r="F73" i="2"/>
  <c r="P74" i="2"/>
  <c r="O74" i="2"/>
  <c r="N74" i="2"/>
  <c r="M74" i="2"/>
  <c r="L73" i="2"/>
  <c r="H74" i="2"/>
  <c r="F72" i="2"/>
  <c r="I68" i="2"/>
  <c r="F68" i="2"/>
  <c r="P67" i="2"/>
  <c r="K67" i="2"/>
  <c r="F67" i="2"/>
  <c r="P66" i="2"/>
  <c r="P68" i="2" s="1"/>
  <c r="O66" i="2"/>
  <c r="O68" i="2" s="1"/>
  <c r="N66" i="2"/>
  <c r="N68" i="2" s="1"/>
  <c r="M66" i="2"/>
  <c r="M68" i="2" s="1"/>
  <c r="L66" i="2"/>
  <c r="L68" i="2" s="1"/>
  <c r="K66" i="2"/>
  <c r="K68" i="2" s="1"/>
  <c r="J66" i="2"/>
  <c r="J68" i="2" s="1"/>
  <c r="I66" i="2"/>
  <c r="I67" i="2" s="1"/>
  <c r="H66" i="2"/>
  <c r="H68" i="2" s="1"/>
  <c r="G66" i="2"/>
  <c r="G68" i="2" s="1"/>
  <c r="F66" i="2"/>
  <c r="K65" i="2"/>
  <c r="I65" i="2"/>
  <c r="F65" i="2"/>
  <c r="P64" i="2"/>
  <c r="O64" i="2"/>
  <c r="N64" i="2"/>
  <c r="M64" i="2"/>
  <c r="L64" i="2"/>
  <c r="K64" i="2"/>
  <c r="I64" i="2"/>
  <c r="H64" i="2"/>
  <c r="G64" i="2"/>
  <c r="F64" i="2"/>
  <c r="P65" i="2"/>
  <c r="O65" i="2"/>
  <c r="N65" i="2"/>
  <c r="M65" i="2"/>
  <c r="L65" i="2"/>
  <c r="J64" i="2"/>
  <c r="F63" i="2"/>
  <c r="HX5" i="1"/>
  <c r="HW5" i="1"/>
  <c r="HV5" i="1"/>
  <c r="HU5" i="1"/>
  <c r="HX4" i="1"/>
  <c r="HW4" i="1"/>
  <c r="HV4" i="1"/>
  <c r="HU4" i="1"/>
  <c r="IB2" i="1"/>
  <c r="HX2" i="1"/>
  <c r="HW2" i="1"/>
  <c r="HV2" i="1"/>
  <c r="HU2" i="1"/>
  <c r="IA4" i="1" l="1"/>
  <c r="G76" i="2"/>
  <c r="O67" i="2"/>
  <c r="M76" i="2"/>
  <c r="M67" i="2"/>
  <c r="R109" i="2"/>
  <c r="K94" i="2"/>
  <c r="L67" i="2"/>
  <c r="G67" i="2"/>
  <c r="R102" i="2"/>
  <c r="N76" i="2"/>
  <c r="A131" i="2"/>
  <c r="O131" i="2"/>
  <c r="E131" i="2"/>
  <c r="E132" i="2"/>
  <c r="C131" i="2"/>
  <c r="H91" i="2"/>
  <c r="J73" i="2"/>
  <c r="G74" i="2"/>
  <c r="H83" i="2"/>
  <c r="H65" i="2"/>
  <c r="G65" i="2"/>
  <c r="J83" i="2"/>
  <c r="M93" i="2"/>
  <c r="L93" i="2"/>
  <c r="M82" i="2"/>
  <c r="L74" i="2"/>
  <c r="H93" i="2"/>
  <c r="L76" i="2"/>
  <c r="J76" i="2"/>
  <c r="H76" i="2"/>
  <c r="N67" i="2"/>
  <c r="J67" i="2"/>
  <c r="H67" i="2"/>
  <c r="J93" i="2"/>
  <c r="M85" i="2"/>
  <c r="L85" i="2"/>
  <c r="J85" i="2"/>
  <c r="J74" i="2"/>
  <c r="H85" i="2"/>
  <c r="O95" i="2"/>
  <c r="H82" i="2"/>
  <c r="N85" i="2"/>
  <c r="N83" i="2"/>
  <c r="L82" i="2"/>
  <c r="N93" i="2"/>
  <c r="K87" i="2"/>
  <c r="J87" i="2"/>
  <c r="N87" i="2"/>
  <c r="J65" i="2"/>
  <c r="I95" i="2"/>
  <c r="M95" i="2"/>
  <c r="H95" i="2"/>
  <c r="L95" i="2"/>
  <c r="M91" i="2"/>
  <c r="J69" i="2"/>
  <c r="N69" i="2"/>
  <c r="N70" i="2" s="1"/>
  <c r="H78" i="2"/>
  <c r="H79" i="2" s="1"/>
  <c r="P78" i="2"/>
  <c r="R124" i="2" s="1"/>
  <c r="T124" i="2" s="1"/>
  <c r="G104" i="2"/>
  <c r="K104" i="2"/>
  <c r="K69" i="2"/>
  <c r="K70" i="2" s="1"/>
  <c r="O69" i="2"/>
  <c r="O70" i="2" s="1"/>
  <c r="I78" i="2"/>
  <c r="I79" i="2" s="1"/>
  <c r="M78" i="2"/>
  <c r="M79" i="2" s="1"/>
  <c r="L111" i="2"/>
  <c r="P111" i="2"/>
  <c r="M104" i="2"/>
  <c r="I104" i="2"/>
  <c r="F104" i="2"/>
  <c r="HY5" i="1"/>
  <c r="HZ5" i="1" s="1"/>
  <c r="HY2" i="1"/>
  <c r="HZ2" i="1" s="1"/>
  <c r="Q112" i="2"/>
  <c r="H111" i="2"/>
  <c r="Q109" i="2"/>
  <c r="L104" i="2"/>
  <c r="G69" i="2"/>
  <c r="R117" i="2" s="1"/>
  <c r="T117" i="2" s="1"/>
  <c r="O104" i="2"/>
  <c r="F107" i="2"/>
  <c r="P104" i="2"/>
  <c r="L78" i="2"/>
  <c r="R123" i="2" s="1"/>
  <c r="T123" i="2" s="1"/>
  <c r="O78" i="2"/>
  <c r="O79" i="2" s="1"/>
  <c r="K78" i="2"/>
  <c r="K79" i="2" s="1"/>
  <c r="F69" i="2"/>
  <c r="F70" i="2" s="1"/>
  <c r="H107" i="2"/>
  <c r="L107" i="2"/>
  <c r="P107" i="2"/>
  <c r="I107" i="2"/>
  <c r="M107" i="2"/>
  <c r="I111" i="2"/>
  <c r="M111" i="2"/>
  <c r="F114" i="2"/>
  <c r="N107" i="2"/>
  <c r="F111" i="2"/>
  <c r="N111" i="2"/>
  <c r="G114" i="2"/>
  <c r="K114" i="2"/>
  <c r="O114" i="2"/>
  <c r="J104" i="2"/>
  <c r="N104" i="2"/>
  <c r="G107" i="2"/>
  <c r="K107" i="2"/>
  <c r="O107" i="2"/>
  <c r="G111" i="2"/>
  <c r="K111" i="2"/>
  <c r="O111" i="2"/>
  <c r="P114" i="2"/>
  <c r="N114" i="2"/>
  <c r="M114" i="2"/>
  <c r="L114" i="2"/>
  <c r="Q113" i="2"/>
  <c r="J114" i="2"/>
  <c r="I114" i="2"/>
  <c r="Q106" i="2"/>
  <c r="Q110" i="2"/>
  <c r="R110" i="2"/>
  <c r="R103" i="2"/>
  <c r="Q94" i="2"/>
  <c r="R94" i="2"/>
  <c r="R86" i="2"/>
  <c r="N95" i="2"/>
  <c r="K95" i="2"/>
  <c r="J95" i="2"/>
  <c r="M87" i="2"/>
  <c r="L87" i="2"/>
  <c r="I87" i="2"/>
  <c r="H87" i="2"/>
  <c r="Q77" i="2"/>
  <c r="N78" i="2"/>
  <c r="N79" i="2" s="1"/>
  <c r="J78" i="2"/>
  <c r="G78" i="2"/>
  <c r="R122" i="2" s="1"/>
  <c r="T122" i="2" s="1"/>
  <c r="F78" i="2"/>
  <c r="F79" i="2" s="1"/>
  <c r="P69" i="2"/>
  <c r="R119" i="2" s="1"/>
  <c r="T119" i="2" s="1"/>
  <c r="M69" i="2"/>
  <c r="M70" i="2" s="1"/>
  <c r="L69" i="2"/>
  <c r="R118" i="2" s="1"/>
  <c r="T118" i="2" s="1"/>
  <c r="I69" i="2"/>
  <c r="I70" i="2" s="1"/>
  <c r="H69" i="2"/>
  <c r="Q86" i="2"/>
  <c r="Q102" i="2"/>
  <c r="H114" i="2"/>
  <c r="Q68" i="2"/>
  <c r="Q103" i="2"/>
  <c r="H104" i="2"/>
  <c r="Q105" i="2"/>
  <c r="J111" i="2"/>
  <c r="R113" i="2"/>
  <c r="R106" i="2"/>
  <c r="R77" i="2"/>
  <c r="J107" i="2"/>
  <c r="R68" i="2"/>
  <c r="R105" i="2"/>
  <c r="HY4" i="1"/>
  <c r="HZ4" i="1" s="1"/>
  <c r="R74" i="2" l="1"/>
  <c r="H70" i="2"/>
  <c r="Q65" i="2"/>
  <c r="R91" i="2"/>
  <c r="R83" i="2"/>
  <c r="Q91" i="2"/>
  <c r="Q83" i="2"/>
  <c r="Q74" i="2"/>
  <c r="P79" i="2"/>
  <c r="X124" i="2"/>
  <c r="R65" i="2"/>
  <c r="J70" i="2"/>
  <c r="R95" i="2"/>
  <c r="G70" i="2"/>
  <c r="Q95" i="2"/>
  <c r="X118" i="2"/>
  <c r="L79" i="2"/>
  <c r="R78" i="2"/>
  <c r="Q78" i="2"/>
  <c r="G79" i="2"/>
  <c r="R87" i="2"/>
  <c r="X123" i="2"/>
  <c r="P70" i="2"/>
  <c r="Q69" i="2"/>
  <c r="R69" i="2"/>
  <c r="Q87" i="2"/>
  <c r="J79" i="2"/>
  <c r="L70" i="2"/>
  <c r="X119" i="2"/>
  <c r="Y28" i="2" l="1"/>
  <c r="Y29" i="2"/>
  <c r="K29" i="2"/>
  <c r="G28" i="2"/>
  <c r="U29" i="2"/>
  <c r="G29" i="2"/>
  <c r="U28" i="2"/>
  <c r="X125" i="2"/>
  <c r="Q27" i="2" s="1"/>
  <c r="K28" i="2"/>
  <c r="X120" i="2"/>
  <c r="C27" i="2" s="1"/>
  <c r="HT5" i="1"/>
  <c r="IA5" i="1" s="1"/>
  <c r="HT4" i="1"/>
  <c r="HS4" i="1"/>
  <c r="HS5" i="1"/>
  <c r="HS2" i="1"/>
  <c r="HT2" i="1"/>
  <c r="Y166" i="2"/>
  <c r="AC2" i="2" l="1"/>
  <c r="IA2" i="1"/>
</calcChain>
</file>

<file path=xl/sharedStrings.xml><?xml version="1.0" encoding="utf-8"?>
<sst xmlns="http://schemas.openxmlformats.org/spreadsheetml/2006/main" count="610" uniqueCount="453">
  <si>
    <t>Timestamp</t>
  </si>
  <si>
    <t>Hospital #</t>
  </si>
  <si>
    <t>Inpat#</t>
  </si>
  <si>
    <t>Name</t>
  </si>
  <si>
    <t>Age</t>
  </si>
  <si>
    <t>Sex</t>
  </si>
  <si>
    <t>Address</t>
  </si>
  <si>
    <t>Tester</t>
  </si>
  <si>
    <t>PTA</t>
  </si>
  <si>
    <t>TYMP</t>
  </si>
  <si>
    <t>VRA</t>
  </si>
  <si>
    <t>PLAY</t>
  </si>
  <si>
    <t>DPOAE</t>
  </si>
  <si>
    <t>ABR</t>
  </si>
  <si>
    <t>Hx</t>
  </si>
  <si>
    <t>R:Degree</t>
  </si>
  <si>
    <t>R:Type</t>
  </si>
  <si>
    <t>L:Degree</t>
  </si>
  <si>
    <t>L:Type</t>
  </si>
  <si>
    <t>R:4FA-AC</t>
  </si>
  <si>
    <t>L:4FA-AC</t>
  </si>
  <si>
    <t>R:4FA-BC</t>
  </si>
  <si>
    <t>L:4FA-BC</t>
  </si>
  <si>
    <t>R:5FA-AC</t>
  </si>
  <si>
    <t>L:5FA-AC</t>
  </si>
  <si>
    <t>R:5FA-BC</t>
  </si>
  <si>
    <t>L:5FA-BC</t>
  </si>
  <si>
    <t>RAC:125</t>
  </si>
  <si>
    <t>RAC:250</t>
  </si>
  <si>
    <t>RAC:500</t>
  </si>
  <si>
    <t>RAC:750</t>
  </si>
  <si>
    <t>RAC:1000</t>
  </si>
  <si>
    <t>RAC:1500</t>
  </si>
  <si>
    <t>RAC:2000</t>
  </si>
  <si>
    <t>RAC:3000</t>
  </si>
  <si>
    <t>RAC:4000</t>
  </si>
  <si>
    <t>RAC:6000</t>
  </si>
  <si>
    <t>RAC:8000</t>
  </si>
  <si>
    <t>LAC:125</t>
  </si>
  <si>
    <t>LAC:250</t>
  </si>
  <si>
    <t>LAC:500</t>
  </si>
  <si>
    <t>LAC:750</t>
  </si>
  <si>
    <t>LAC:1000</t>
  </si>
  <si>
    <t>LAC:1500</t>
  </si>
  <si>
    <t>LAC:2000</t>
  </si>
  <si>
    <t>LAC:3000</t>
  </si>
  <si>
    <t>LAC:4000</t>
  </si>
  <si>
    <t>LAC:6000</t>
  </si>
  <si>
    <t>LAC:8000</t>
  </si>
  <si>
    <t>RAC-M:125</t>
  </si>
  <si>
    <t>RAC-M:250</t>
  </si>
  <si>
    <t>RAC-M:500</t>
  </si>
  <si>
    <t>RAC-M:750</t>
  </si>
  <si>
    <t>RAC-M:1000</t>
  </si>
  <si>
    <t>RAC-M:1500</t>
  </si>
  <si>
    <t>RAC-M:2000</t>
  </si>
  <si>
    <t>RAC-M:3000</t>
  </si>
  <si>
    <t>RAC-M:4000</t>
  </si>
  <si>
    <t>RAC-M:6000</t>
  </si>
  <si>
    <t>RAC-M:8000</t>
  </si>
  <si>
    <t>LAC-M:125</t>
  </si>
  <si>
    <t>LAC-M:250</t>
  </si>
  <si>
    <t>LAC-M:500</t>
  </si>
  <si>
    <t>LAC-M:750</t>
  </si>
  <si>
    <t>LAC-M:1000</t>
  </si>
  <si>
    <t>LAC-M:1500</t>
  </si>
  <si>
    <t>LAC-M:2000</t>
  </si>
  <si>
    <t>LAC-M:3000</t>
  </si>
  <si>
    <t>LAC-M:4000</t>
  </si>
  <si>
    <t>LAC-M:6000</t>
  </si>
  <si>
    <t>LAC-M:8000</t>
  </si>
  <si>
    <t>RBC:500</t>
  </si>
  <si>
    <t>RBC:750</t>
  </si>
  <si>
    <t>RBC:1000</t>
  </si>
  <si>
    <t>RBC:1500</t>
  </si>
  <si>
    <t>RBC:2000</t>
  </si>
  <si>
    <t>RBC:3000</t>
  </si>
  <si>
    <t>RBC:4000</t>
  </si>
  <si>
    <t>LBC:500</t>
  </si>
  <si>
    <t>LBC:750</t>
  </si>
  <si>
    <t>LBC:1000</t>
  </si>
  <si>
    <t>LBC:1500</t>
  </si>
  <si>
    <t>LBC:2000</t>
  </si>
  <si>
    <t>LBC:3000</t>
  </si>
  <si>
    <t>LBC:4000</t>
  </si>
  <si>
    <t>RBC-M:500</t>
  </si>
  <si>
    <t>RBC-M:750</t>
  </si>
  <si>
    <t>RBC-M:1000</t>
  </si>
  <si>
    <t>RBC-M:1500</t>
  </si>
  <si>
    <t>RBC-M:2000</t>
  </si>
  <si>
    <t>RBC-M:3000</t>
  </si>
  <si>
    <t>RBC-M:4000</t>
  </si>
  <si>
    <t>LBC-M:500</t>
  </si>
  <si>
    <t>LBC-M:750</t>
  </si>
  <si>
    <t>LBC-M:1000</t>
  </si>
  <si>
    <t>LBC-M:1500</t>
  </si>
  <si>
    <t>LBC-M:2000</t>
  </si>
  <si>
    <t>LBC-M:3000</t>
  </si>
  <si>
    <t>LBC-M:4000</t>
  </si>
  <si>
    <t>RHA:125</t>
  </si>
  <si>
    <t>RHA:250</t>
  </si>
  <si>
    <t>RHA:500</t>
  </si>
  <si>
    <t>RHA:750</t>
  </si>
  <si>
    <t>RHA:1000</t>
  </si>
  <si>
    <t>RHA:1500</t>
  </si>
  <si>
    <t>RHA:2000</t>
  </si>
  <si>
    <t>RHA:3000</t>
  </si>
  <si>
    <t>RHA:4000</t>
  </si>
  <si>
    <t>RHA:6000</t>
  </si>
  <si>
    <t>RHA:8000</t>
  </si>
  <si>
    <t>LHA:125</t>
  </si>
  <si>
    <t>LHA:250</t>
  </si>
  <si>
    <t>LHA:500</t>
  </si>
  <si>
    <t>LHA:750</t>
  </si>
  <si>
    <t>LHA:1000</t>
  </si>
  <si>
    <t>LHA:1500</t>
  </si>
  <si>
    <t>LHA:2000</t>
  </si>
  <si>
    <t>LHA:3000</t>
  </si>
  <si>
    <t>LHA:4000</t>
  </si>
  <si>
    <t>LHA:6000</t>
  </si>
  <si>
    <t>LHA:8000</t>
  </si>
  <si>
    <t>RSF:125</t>
  </si>
  <si>
    <t>RSF:250</t>
  </si>
  <si>
    <t>RSF:500</t>
  </si>
  <si>
    <t>RSF:750</t>
  </si>
  <si>
    <t>RSF:1000</t>
  </si>
  <si>
    <t>RSF:1500</t>
  </si>
  <si>
    <t>RSF:2000</t>
  </si>
  <si>
    <t>RSF:3000</t>
  </si>
  <si>
    <t>RSF:4000</t>
  </si>
  <si>
    <t>RSF:6000</t>
  </si>
  <si>
    <t>RSF:8000</t>
  </si>
  <si>
    <t>LSF:125</t>
  </si>
  <si>
    <t>LSF:250</t>
  </si>
  <si>
    <t>LSF:500</t>
  </si>
  <si>
    <t>LSF:750</t>
  </si>
  <si>
    <t>LSF:1000</t>
  </si>
  <si>
    <t>LSF:1500</t>
  </si>
  <si>
    <t>LSF:2000</t>
  </si>
  <si>
    <t>LSF:3000</t>
  </si>
  <si>
    <t>LSF:4000</t>
  </si>
  <si>
    <t>LSF:6000</t>
  </si>
  <si>
    <t>LSF:8000</t>
  </si>
  <si>
    <t>RULL:500</t>
  </si>
  <si>
    <t>RULL:750</t>
  </si>
  <si>
    <t>RULL:1000</t>
  </si>
  <si>
    <t>RULL:1500</t>
  </si>
  <si>
    <t>RULL:2000</t>
  </si>
  <si>
    <t>RULL:3000</t>
  </si>
  <si>
    <t>RULL:4000</t>
  </si>
  <si>
    <t>LULL:500</t>
  </si>
  <si>
    <t>LULL:750</t>
  </si>
  <si>
    <t>LULL:1000</t>
  </si>
  <si>
    <t>LULL:1500</t>
  </si>
  <si>
    <t>LULL:2000</t>
  </si>
  <si>
    <t>LULL:3000</t>
  </si>
  <si>
    <t>LULL:4000</t>
  </si>
  <si>
    <t>R-Note</t>
  </si>
  <si>
    <t>L-Note</t>
  </si>
  <si>
    <t>Comments</t>
  </si>
  <si>
    <t>RTYMP-Type</t>
  </si>
  <si>
    <t>RTYMP-Vol</t>
  </si>
  <si>
    <t>RTYMP-MEP</t>
  </si>
  <si>
    <t>RTYMP-Pk</t>
  </si>
  <si>
    <t>RTYMP-Width</t>
  </si>
  <si>
    <t>LTYMP-Type</t>
  </si>
  <si>
    <t>LTYMP-Vol</t>
  </si>
  <si>
    <t>LTYMP-MEP</t>
  </si>
  <si>
    <t>LTYMP-Pk</t>
  </si>
  <si>
    <t>LTYMP-Width</t>
  </si>
  <si>
    <t>DPR:1k</t>
  </si>
  <si>
    <t>DPR:1.6k</t>
  </si>
  <si>
    <t>DPR:2k</t>
  </si>
  <si>
    <t>DPR:3k</t>
  </si>
  <si>
    <t>DPR:4k</t>
  </si>
  <si>
    <t>DPR:5k</t>
  </si>
  <si>
    <t>DPR:6k</t>
  </si>
  <si>
    <t>DPR:8k</t>
  </si>
  <si>
    <t>DPR:ALL</t>
  </si>
  <si>
    <t>DPL:1k</t>
  </si>
  <si>
    <t>DPL:1.6k</t>
  </si>
  <si>
    <t>DPL:2k</t>
  </si>
  <si>
    <t>DPL:3k</t>
  </si>
  <si>
    <t>DPL:4k</t>
  </si>
  <si>
    <t>DPL:5k</t>
  </si>
  <si>
    <t>DPL:6k</t>
  </si>
  <si>
    <t>DPL:8k</t>
  </si>
  <si>
    <t>DPL:ALL</t>
  </si>
  <si>
    <t>RR:0.5</t>
  </si>
  <si>
    <t>RR:1</t>
  </si>
  <si>
    <t>RR:2</t>
  </si>
  <si>
    <t>RR:BBN</t>
  </si>
  <si>
    <t>LR:0.5</t>
  </si>
  <si>
    <t>LR:1</t>
  </si>
  <si>
    <t>LR:2</t>
  </si>
  <si>
    <t>LR:BBN</t>
  </si>
  <si>
    <t>Reliability</t>
  </si>
  <si>
    <t>Otoscopy</t>
  </si>
  <si>
    <t>Sp1:M</t>
  </si>
  <si>
    <t>SP1-Type</t>
  </si>
  <si>
    <t>R:Sp1-%</t>
  </si>
  <si>
    <t>R:Sp1-dB</t>
  </si>
  <si>
    <t>L-Sp1-%</t>
  </si>
  <si>
    <t>L:Sp1-dB</t>
  </si>
  <si>
    <t>Sp2:M</t>
  </si>
  <si>
    <t>SP2-Type</t>
  </si>
  <si>
    <t>R:Sp2-%</t>
  </si>
  <si>
    <t>R:Sp2-dB</t>
  </si>
  <si>
    <t>L-Sp2-%</t>
  </si>
  <si>
    <t>L:Sp2-dB</t>
  </si>
  <si>
    <t>Sp3:M</t>
  </si>
  <si>
    <t>SP3-Type</t>
  </si>
  <si>
    <t>R:Sp3-%</t>
  </si>
  <si>
    <t>R:Sp3-dB</t>
  </si>
  <si>
    <t>L-Sp3-%</t>
  </si>
  <si>
    <t>L:Sp3-dB</t>
  </si>
  <si>
    <t>Sp3:M2</t>
  </si>
  <si>
    <t>SP3-Type3</t>
  </si>
  <si>
    <t>R:SDT</t>
  </si>
  <si>
    <t>L:SDT</t>
  </si>
  <si>
    <t>Sp4:M</t>
  </si>
  <si>
    <t>SP4-Type</t>
  </si>
  <si>
    <t>R:SRT</t>
  </si>
  <si>
    <t>L:SRT</t>
  </si>
  <si>
    <t>Action</t>
  </si>
  <si>
    <t>Action Note</t>
  </si>
  <si>
    <t>R:Type (est)</t>
  </si>
  <si>
    <t>L:Type (est)</t>
  </si>
  <si>
    <t>R:4FAC</t>
  </si>
  <si>
    <t>L:4FAC</t>
  </si>
  <si>
    <t>R:4FBC</t>
  </si>
  <si>
    <t>L:4FBC</t>
  </si>
  <si>
    <t>BEST EAR</t>
  </si>
  <si>
    <t>WHO Rating</t>
  </si>
  <si>
    <t>Best Ear Type</t>
  </si>
  <si>
    <t>Visit Count</t>
  </si>
  <si>
    <t>Children</t>
  </si>
  <si>
    <t>Adults</t>
  </si>
  <si>
    <t>M</t>
  </si>
  <si>
    <t>Combined Audiogram (2 visits) Progressive loss</t>
  </si>
  <si>
    <t>SNHL</t>
  </si>
  <si>
    <t>Comments:</t>
  </si>
  <si>
    <t>C</t>
  </si>
  <si>
    <t>ABS</t>
  </si>
  <si>
    <t>NR</t>
  </si>
  <si>
    <t>NT</t>
  </si>
  <si>
    <t>Good</t>
  </si>
  <si>
    <t>up to 25</t>
  </si>
  <si>
    <t>No or very slight hearing problems. Able to hear whispers.</t>
  </si>
  <si>
    <t>1 - Slight impairment</t>
  </si>
  <si>
    <t>F</t>
  </si>
  <si>
    <t>Tinnitus R with on/off fullness</t>
  </si>
  <si>
    <t>Comments: A deep on R</t>
  </si>
  <si>
    <t>A</t>
  </si>
  <si>
    <t>26-40 dB </t>
  </si>
  <si>
    <t>Able to hear and repeat words spoken in normal voice at 1 metre.</t>
  </si>
  <si>
    <t>Counselling. Hearing aids may be needed.</t>
  </si>
  <si>
    <t>2 - Moderate impairment</t>
  </si>
  <si>
    <t>B/L Decreased Hearing</t>
  </si>
  <si>
    <t>moderately-severe rising to moderate in the mid frequencies becoming moderately-severe in the high frequencies</t>
  </si>
  <si>
    <t>moderate becoming moderately-severe in the high frequencies</t>
  </si>
  <si>
    <t>41-60 dB </t>
  </si>
  <si>
    <t>Able to hear and repeat words spoken in raised voice at 1 metre.</t>
  </si>
  <si>
    <t>Hearing aids usually recommended.</t>
  </si>
  <si>
    <t>3 - Severe impairment</t>
  </si>
  <si>
    <t>CHL</t>
  </si>
  <si>
    <t>mild</t>
  </si>
  <si>
    <t>normal</t>
  </si>
  <si>
    <t>B(low)</t>
  </si>
  <si>
    <t>profound</t>
  </si>
  <si>
    <t>Mixed</t>
  </si>
  <si>
    <t>Poor</t>
  </si>
  <si>
    <t>slight</t>
  </si>
  <si>
    <t>Fair</t>
  </si>
  <si>
    <t>Undetermined</t>
  </si>
  <si>
    <t>severe</t>
  </si>
  <si>
    <t>As</t>
  </si>
  <si>
    <t>moderately-severe</t>
  </si>
  <si>
    <t>moderate</t>
  </si>
  <si>
    <t>DNT</t>
  </si>
  <si>
    <t>B(high)</t>
  </si>
  <si>
    <t>Ad</t>
  </si>
  <si>
    <t>Normal</t>
  </si>
  <si>
    <t>MLV</t>
  </si>
  <si>
    <t>Spondee</t>
  </si>
  <si>
    <t>Referred HA Discussion</t>
  </si>
  <si>
    <t>None</t>
  </si>
  <si>
    <t>Refer ENT</t>
  </si>
  <si>
    <t>CNT</t>
  </si>
  <si>
    <t xml:space="preserve">F/Up </t>
  </si>
  <si>
    <t>CVC</t>
  </si>
  <si>
    <t>Functional</t>
  </si>
  <si>
    <t>Other</t>
  </si>
  <si>
    <t>Age:</t>
  </si>
  <si>
    <t>Sex:</t>
  </si>
  <si>
    <t>ID #:</t>
  </si>
  <si>
    <t>/</t>
  </si>
  <si>
    <t>Address:</t>
  </si>
  <si>
    <t>assessment count:</t>
  </si>
  <si>
    <t>password for workbook = 1234</t>
  </si>
  <si>
    <t>Hx:</t>
  </si>
  <si>
    <t>Tests:</t>
  </si>
  <si>
    <t>OAE</t>
  </si>
  <si>
    <t>TimeStamp:</t>
  </si>
  <si>
    <t>Tester:</t>
  </si>
  <si>
    <t>RIGHT</t>
  </si>
  <si>
    <t>SYMBOLS</t>
  </si>
  <si>
    <t>LEFT</t>
  </si>
  <si>
    <t>AIR</t>
  </si>
  <si>
    <t>UNMASKED</t>
  </si>
  <si>
    <t>MASKED</t>
  </si>
  <si>
    <t>Toggle Lines</t>
  </si>
  <si>
    <t>BONE</t>
  </si>
  <si>
    <t>SOUNDFIELD</t>
  </si>
  <si>
    <t>AIDED</t>
  </si>
  <si>
    <t>UNAIDED</t>
  </si>
  <si>
    <t>ULL</t>
  </si>
  <si>
    <t>NO RESPONSE</t>
  </si>
  <si>
    <t>RELIABILITY</t>
  </si>
  <si>
    <t>Degree:</t>
  </si>
  <si>
    <t>AC30</t>
  </si>
  <si>
    <t>Type:</t>
  </si>
  <si>
    <t>AC 4FA (4k):</t>
  </si>
  <si>
    <t>AC 4FA (3k):</t>
  </si>
  <si>
    <t>Thulo Booth</t>
  </si>
  <si>
    <t>BC 4FA (4k):</t>
  </si>
  <si>
    <t>BC 4FA (3k):</t>
  </si>
  <si>
    <t>Frequency (Hz)</t>
  </si>
  <si>
    <t>AC</t>
  </si>
  <si>
    <t>Unmasked</t>
  </si>
  <si>
    <t>Masked</t>
  </si>
  <si>
    <t>For No Response enter value followed by '+' e.g. 100+ = 100NR              For Masking Note use an asterix (*) e.g. 100*</t>
  </si>
  <si>
    <t>BC</t>
  </si>
  <si>
    <t>SF</t>
  </si>
  <si>
    <t>Aided</t>
  </si>
  <si>
    <t>Unaided</t>
  </si>
  <si>
    <t>Mask Note:</t>
  </si>
  <si>
    <t>Detail masking issues, e.g @.5K 20dB SP; @1kHz MD; @2K ?OM</t>
  </si>
  <si>
    <t>R</t>
  </si>
  <si>
    <t>L</t>
  </si>
  <si>
    <t>OTOSCOPY</t>
  </si>
  <si>
    <t>DPOAEs</t>
  </si>
  <si>
    <t>1k</t>
  </si>
  <si>
    <t>ALL</t>
  </si>
  <si>
    <t>Type</t>
  </si>
  <si>
    <t>Enter Y or N for DPOAEs (present or not present)</t>
  </si>
  <si>
    <t>ECV (cc)</t>
  </si>
  <si>
    <t>REFLEXES</t>
  </si>
  <si>
    <t>BBN</t>
  </si>
  <si>
    <t>Masking Key</t>
  </si>
  <si>
    <t>MD = Masking Dillema</t>
  </si>
  <si>
    <t>Pk (cc)</t>
  </si>
  <si>
    <t>OM = Over Masking</t>
  </si>
  <si>
    <t>Reflex Enter Threshold Level</t>
  </si>
  <si>
    <t>Width</t>
  </si>
  <si>
    <t>SP = Short Plateau</t>
  </si>
  <si>
    <t>SPEECH</t>
  </si>
  <si>
    <t>ASSESSMENT COMMENTS</t>
  </si>
  <si>
    <t>ACTION TAKEN</t>
  </si>
  <si>
    <t>REC</t>
  </si>
  <si>
    <t>Word</t>
  </si>
  <si>
    <t>% @</t>
  </si>
  <si>
    <t>dBHL</t>
  </si>
  <si>
    <t>SDT @</t>
  </si>
  <si>
    <t>SRT @</t>
  </si>
  <si>
    <t>HIDDEN CELLS</t>
  </si>
  <si>
    <t>TESTS</t>
  </si>
  <si>
    <t>Calculations For Audiogram</t>
  </si>
  <si>
    <t>Count 4FA</t>
  </si>
  <si>
    <t>Count 5FA</t>
  </si>
  <si>
    <t>Unmasked right ear</t>
  </si>
  <si>
    <t>Unmasked RAC note</t>
  </si>
  <si>
    <t>Unmasked right NR</t>
  </si>
  <si>
    <t>Masked  right ear</t>
  </si>
  <si>
    <t>Masked RAC note</t>
  </si>
  <si>
    <t>Masked right NR</t>
  </si>
  <si>
    <t>AC Thresholds RIGHT</t>
  </si>
  <si>
    <t>Line</t>
  </si>
  <si>
    <t>Unmasked left ear</t>
  </si>
  <si>
    <t>Unmasked LAC note</t>
  </si>
  <si>
    <t>Unmasked left NR</t>
  </si>
  <si>
    <t>Masked left ear</t>
  </si>
  <si>
    <t>Masked LAC note</t>
  </si>
  <si>
    <t>Masked left NR</t>
  </si>
  <si>
    <t>AC Thresholds LEFT</t>
  </si>
  <si>
    <t>Unmasked right</t>
  </si>
  <si>
    <t>Unmasked RBC note</t>
  </si>
  <si>
    <t>Masked right ear</t>
  </si>
  <si>
    <t>Masked RBC note</t>
  </si>
  <si>
    <t>BC Thresholds Right</t>
  </si>
  <si>
    <t>Unmasked left</t>
  </si>
  <si>
    <t>Unmasked LBC note</t>
  </si>
  <si>
    <t>Masked LBC note</t>
  </si>
  <si>
    <t>BC Thresholds Left</t>
  </si>
  <si>
    <t>Right ear</t>
  </si>
  <si>
    <t>Right NR</t>
  </si>
  <si>
    <t>Left Ear</t>
  </si>
  <si>
    <t>Left NR</t>
  </si>
  <si>
    <t>Right</t>
  </si>
  <si>
    <t>Aided NR</t>
  </si>
  <si>
    <t>Aided Line</t>
  </si>
  <si>
    <t>Unaided NR</t>
  </si>
  <si>
    <t>Unaided Line</t>
  </si>
  <si>
    <t>note error in R SF line formula, however as not excluding NR not corrected this</t>
  </si>
  <si>
    <t>Left</t>
  </si>
  <si>
    <t>RIGHT AC</t>
  </si>
  <si>
    <t>Tymps</t>
  </si>
  <si>
    <t>Loss</t>
  </si>
  <si>
    <t>LEFT AC</t>
  </si>
  <si>
    <t>-</t>
  </si>
  <si>
    <t>Fitting Date:</t>
  </si>
  <si>
    <t>Model:</t>
  </si>
  <si>
    <t>Fitting Time:</t>
  </si>
  <si>
    <t>Mould Type:</t>
  </si>
  <si>
    <t>Cost NPR:</t>
  </si>
  <si>
    <t>Mould Style:</t>
  </si>
  <si>
    <t>Venting:</t>
  </si>
  <si>
    <t>Reason aid/aids declined:</t>
  </si>
  <si>
    <t>Assessment Count:</t>
  </si>
  <si>
    <t>MEP(daPa)</t>
  </si>
  <si>
    <t>Surgery</t>
  </si>
  <si>
    <t>Save Copy as Separate Sheet:</t>
  </si>
  <si>
    <t>Save Location:</t>
  </si>
  <si>
    <t>File Name:</t>
  </si>
  <si>
    <t>\Arch\</t>
  </si>
  <si>
    <t>WHO Cat</t>
  </si>
  <si>
    <t>Masking Rules</t>
  </si>
  <si>
    <t>Use Network Location</t>
  </si>
  <si>
    <t>Network Location</t>
  </si>
  <si>
    <t>E:</t>
  </si>
  <si>
    <t>Enforce Transfer before Print</t>
  </si>
  <si>
    <t>HEARING-AID FITTING NOTES</t>
  </si>
  <si>
    <t>Pre-Fitting Notes:</t>
  </si>
  <si>
    <t>HA FITTED</t>
  </si>
  <si>
    <t>Brand:</t>
  </si>
  <si>
    <t>Battery size:</t>
  </si>
  <si>
    <t>SSI:</t>
  </si>
  <si>
    <t>Spiderman</t>
  </si>
  <si>
    <t>Ironman</t>
  </si>
  <si>
    <t>Thor</t>
  </si>
  <si>
    <t>Captain America</t>
  </si>
  <si>
    <t>Malibu</t>
  </si>
  <si>
    <t>Azgard</t>
  </si>
  <si>
    <t>Brooklyn</t>
  </si>
  <si>
    <t>New York</t>
  </si>
  <si>
    <t>MS</t>
  </si>
  <si>
    <t>NS</t>
  </si>
  <si>
    <t>Not Transferred</t>
  </si>
  <si>
    <t>&lt; need to create before using</t>
  </si>
  <si>
    <t>&lt; if user is forgetful</t>
  </si>
  <si>
    <t>&lt; use filesystem as database</t>
  </si>
  <si>
    <t>&lt; can additionally save on shared network drive</t>
  </si>
  <si>
    <t>&lt;a work around for when the lines just don’t make sense, e.g. a notched profound 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</si>
</sst>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color rgb="FF800000"/>
      <name val="Arial"/>
      <family val="2"/>
    </font>
    <font>
      <b/>
      <sz val="10"/>
      <name val="Arial"/>
      <family val="2"/>
    </font>
    <font>
      <sz val="5"/>
      <color rgb="FF242424"/>
      <name val="Droid Sans Mono"/>
      <family val="3"/>
    </font>
    <font>
      <b/>
      <i/>
      <sz val="10"/>
      <name val="Arial"/>
      <family val="2"/>
    </font>
    <font>
      <b/>
      <u/>
      <sz val="8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sz val="11"/>
      <color rgb="FFFF0000"/>
      <name val="Calibri"/>
      <family val="2"/>
      <scheme val="minor"/>
    </font>
    <font>
      <i/>
      <sz val="9"/>
      <name val="Arial"/>
      <family val="2"/>
    </font>
    <font>
      <sz val="10"/>
      <color theme="1"/>
      <name val="Calibri"/>
      <family val="2"/>
      <scheme val="minor"/>
    </font>
    <font>
      <sz val="9"/>
      <name val="Arial"/>
      <family val="2"/>
    </font>
    <font>
      <b/>
      <sz val="12"/>
      <color theme="0"/>
      <name val="Arial"/>
      <family val="2"/>
    </font>
    <font>
      <sz val="10"/>
      <color rgb="FF3F3F7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rgb="FF800000"/>
      <name val="Arial"/>
      <family val="2"/>
    </font>
    <font>
      <b/>
      <sz val="9"/>
      <name val="Arial"/>
      <family val="2"/>
    </font>
    <font>
      <b/>
      <sz val="8"/>
      <color theme="0"/>
      <name val="Arial"/>
      <family val="2"/>
    </font>
    <font>
      <i/>
      <sz val="10"/>
      <color rgb="FF800000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b/>
      <sz val="13"/>
      <color rgb="FF7B0046"/>
      <name val="Arial"/>
      <family val="2"/>
    </font>
    <font>
      <b/>
      <u/>
      <sz val="13"/>
      <color rgb="FF7B0046"/>
      <name val="Arial"/>
      <family val="2"/>
    </font>
    <font>
      <i/>
      <u/>
      <sz val="10"/>
      <name val="Arial"/>
      <family val="2"/>
    </font>
    <font>
      <sz val="1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B0046"/>
        <bgColor indexed="64"/>
      </patternFill>
    </fill>
    <fill>
      <patternFill patternType="solid">
        <fgColor theme="0"/>
        <bgColor indexed="64"/>
      </patternFill>
    </fill>
  </fills>
  <borders count="8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/>
      <bottom/>
      <diagonal/>
    </border>
    <border>
      <left/>
      <right style="thin">
        <color rgb="FF3F3F3F"/>
      </right>
      <top/>
      <bottom/>
      <diagonal/>
    </border>
    <border>
      <left/>
      <right/>
      <top style="thin">
        <color rgb="FF3F3F3F"/>
      </top>
      <bottom/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rgb="FFE95E30"/>
      </bottom>
      <diagonal/>
    </border>
    <border>
      <left style="medium">
        <color indexed="64"/>
      </left>
      <right/>
      <top/>
      <bottom style="medium">
        <color theme="4" tint="0.39997558519241921"/>
      </bottom>
      <diagonal/>
    </border>
    <border>
      <left/>
      <right style="medium">
        <color indexed="64"/>
      </right>
      <top/>
      <bottom style="medium">
        <color theme="4" tint="0.3999755851924192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theme="4" tint="0.39997558519241921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3" borderId="3" applyNumberFormat="0" applyAlignment="0" applyProtection="0"/>
    <xf numFmtId="0" fontId="6" fillId="4" borderId="4" applyNumberFormat="0" applyAlignment="0" applyProtection="0"/>
    <xf numFmtId="0" fontId="7" fillId="0" borderId="0" applyNumberFormat="0" applyFill="0" applyBorder="0" applyAlignment="0" applyProtection="0"/>
    <xf numFmtId="0" fontId="8" fillId="6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2" fillId="8" borderId="0" applyNumberFormat="0" applyBorder="0" applyAlignment="0" applyProtection="0"/>
    <xf numFmtId="0" fontId="2" fillId="7" borderId="0" applyNumberFormat="0" applyBorder="0" applyAlignment="0" applyProtection="0"/>
    <xf numFmtId="0" fontId="2" fillId="5" borderId="0" applyNumberFormat="0" applyBorder="0" applyAlignment="0" applyProtection="0"/>
    <xf numFmtId="0" fontId="32" fillId="0" borderId="76" applyNumberFormat="0" applyFill="0" applyAlignment="0" applyProtection="0"/>
  </cellStyleXfs>
  <cellXfs count="303">
    <xf numFmtId="0" fontId="0" fillId="0" borderId="0" xfId="0"/>
    <xf numFmtId="0" fontId="0" fillId="0" borderId="0" xfId="0" applyProtection="1">
      <protection locked="0"/>
    </xf>
    <xf numFmtId="0" fontId="11" fillId="0" borderId="0" xfId="0" applyFont="1" applyProtection="1">
      <protection locked="0"/>
    </xf>
    <xf numFmtId="0" fontId="12" fillId="11" borderId="5" xfId="0" applyFont="1" applyFill="1" applyBorder="1" applyProtection="1">
      <protection locked="0"/>
    </xf>
    <xf numFmtId="0" fontId="12" fillId="11" borderId="6" xfId="0" applyFont="1" applyFill="1" applyBorder="1" applyProtection="1">
      <protection locked="0"/>
    </xf>
    <xf numFmtId="0" fontId="12" fillId="11" borderId="0" xfId="0" applyFont="1" applyFill="1" applyProtection="1">
      <protection locked="0"/>
    </xf>
    <xf numFmtId="0" fontId="12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10" fillId="0" borderId="7" xfId="0" applyFont="1" applyBorder="1" applyProtection="1">
      <protection locked="0"/>
    </xf>
    <xf numFmtId="0" fontId="0" fillId="0" borderId="7" xfId="0" applyBorder="1" applyProtection="1">
      <protection locked="0"/>
    </xf>
    <xf numFmtId="0" fontId="10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0" fontId="5" fillId="3" borderId="3" xfId="3" applyProtection="1">
      <protection locked="0"/>
    </xf>
    <xf numFmtId="0" fontId="11" fillId="12" borderId="9" xfId="0" quotePrefix="1" applyFont="1" applyFill="1" applyBorder="1" applyAlignment="1">
      <alignment horizontal="center"/>
    </xf>
    <xf numFmtId="0" fontId="11" fillId="0" borderId="0" xfId="0" applyFont="1"/>
    <xf numFmtId="0" fontId="10" fillId="0" borderId="0" xfId="0" applyFont="1"/>
    <xf numFmtId="0" fontId="14" fillId="0" borderId="0" xfId="0" applyFont="1" applyAlignment="1">
      <alignment horizontal="left" vertical="center" indent="2"/>
    </xf>
    <xf numFmtId="0" fontId="0" fillId="0" borderId="22" xfId="0" applyBorder="1"/>
    <xf numFmtId="0" fontId="11" fillId="0" borderId="23" xfId="0" applyFont="1" applyBorder="1"/>
    <xf numFmtId="0" fontId="11" fillId="0" borderId="22" xfId="0" applyFont="1" applyBorder="1"/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1" fillId="0" borderId="5" xfId="0" applyFont="1" applyBorder="1"/>
    <xf numFmtId="0" fontId="11" fillId="0" borderId="6" xfId="0" applyFont="1" applyBorder="1"/>
    <xf numFmtId="0" fontId="11" fillId="0" borderId="24" xfId="0" applyFont="1" applyBorder="1"/>
    <xf numFmtId="0" fontId="16" fillId="0" borderId="0" xfId="0" applyFont="1" applyAlignment="1">
      <alignment horizontal="center"/>
    </xf>
    <xf numFmtId="0" fontId="11" fillId="0" borderId="0" xfId="0" applyFont="1" applyAlignment="1" applyProtection="1">
      <alignment horizontal="center"/>
      <protection locked="0"/>
    </xf>
    <xf numFmtId="0" fontId="0" fillId="0" borderId="5" xfId="0" applyBorder="1"/>
    <xf numFmtId="0" fontId="0" fillId="0" borderId="6" xfId="0" applyBorder="1"/>
    <xf numFmtId="0" fontId="11" fillId="0" borderId="6" xfId="0" applyFont="1" applyBorder="1" applyAlignment="1">
      <alignment vertical="center"/>
    </xf>
    <xf numFmtId="0" fontId="11" fillId="0" borderId="0" xfId="0" applyFont="1" applyAlignment="1">
      <alignment horizontal="center"/>
    </xf>
    <xf numFmtId="0" fontId="22" fillId="0" borderId="0" xfId="0" applyFont="1"/>
    <xf numFmtId="0" fontId="20" fillId="0" borderId="0" xfId="0" applyFont="1"/>
    <xf numFmtId="0" fontId="12" fillId="11" borderId="5" xfId="0" applyFont="1" applyFill="1" applyBorder="1" applyAlignment="1">
      <alignment horizontal="center"/>
    </xf>
    <xf numFmtId="0" fontId="12" fillId="11" borderId="6" xfId="0" applyFont="1" applyFill="1" applyBorder="1" applyAlignment="1">
      <alignment horizontal="center"/>
    </xf>
    <xf numFmtId="0" fontId="12" fillId="11" borderId="24" xfId="0" applyFont="1" applyFill="1" applyBorder="1" applyAlignment="1">
      <alignment horizontal="center"/>
    </xf>
    <xf numFmtId="0" fontId="18" fillId="0" borderId="0" xfId="0" applyFont="1"/>
    <xf numFmtId="0" fontId="24" fillId="16" borderId="25" xfId="2" applyFont="1" applyFill="1" applyBorder="1" applyAlignment="1" applyProtection="1">
      <alignment horizontal="center"/>
      <protection locked="0"/>
    </xf>
    <xf numFmtId="0" fontId="24" fillId="17" borderId="26" xfId="2" applyFont="1" applyFill="1" applyBorder="1" applyAlignment="1" applyProtection="1">
      <alignment horizontal="center"/>
      <protection locked="0"/>
    </xf>
    <xf numFmtId="0" fontId="24" fillId="16" borderId="26" xfId="2" applyFont="1" applyFill="1" applyBorder="1" applyAlignment="1" applyProtection="1">
      <alignment horizontal="center"/>
      <protection locked="0"/>
    </xf>
    <xf numFmtId="0" fontId="24" fillId="17" borderId="27" xfId="2" applyFont="1" applyFill="1" applyBorder="1" applyAlignment="1" applyProtection="1">
      <alignment horizontal="center"/>
      <protection locked="0"/>
    </xf>
    <xf numFmtId="0" fontId="26" fillId="11" borderId="20" xfId="0" applyFont="1" applyFill="1" applyBorder="1" applyAlignment="1">
      <alignment horizontal="center" vertical="center"/>
    </xf>
    <xf numFmtId="0" fontId="24" fillId="12" borderId="29" xfId="2" applyFont="1" applyFill="1" applyBorder="1" applyAlignment="1" applyProtection="1">
      <alignment horizontal="center"/>
      <protection locked="0"/>
    </xf>
    <xf numFmtId="0" fontId="24" fillId="18" borderId="26" xfId="2" applyFont="1" applyFill="1" applyBorder="1" applyAlignment="1" applyProtection="1">
      <alignment horizontal="center"/>
      <protection locked="0"/>
    </xf>
    <xf numFmtId="0" fontId="24" fillId="12" borderId="26" xfId="2" applyFont="1" applyFill="1" applyBorder="1" applyAlignment="1" applyProtection="1">
      <alignment horizontal="center"/>
      <protection locked="0"/>
    </xf>
    <xf numFmtId="0" fontId="24" fillId="18" borderId="30" xfId="2" applyFont="1" applyFill="1" applyBorder="1" applyAlignment="1" applyProtection="1">
      <alignment horizontal="center"/>
      <protection locked="0"/>
    </xf>
    <xf numFmtId="0" fontId="24" fillId="16" borderId="31" xfId="2" applyFont="1" applyFill="1" applyBorder="1" applyAlignment="1" applyProtection="1">
      <alignment horizontal="center"/>
      <protection locked="0"/>
    </xf>
    <xf numFmtId="0" fontId="24" fillId="17" borderId="32" xfId="2" applyFont="1" applyFill="1" applyBorder="1" applyAlignment="1" applyProtection="1">
      <alignment horizontal="center"/>
      <protection locked="0"/>
    </xf>
    <xf numFmtId="0" fontId="24" fillId="16" borderId="32" xfId="2" applyFont="1" applyFill="1" applyBorder="1" applyAlignment="1" applyProtection="1">
      <alignment horizontal="center"/>
      <protection locked="0"/>
    </xf>
    <xf numFmtId="0" fontId="24" fillId="17" borderId="33" xfId="2" applyFont="1" applyFill="1" applyBorder="1" applyAlignment="1" applyProtection="1">
      <alignment horizontal="center"/>
      <protection locked="0"/>
    </xf>
    <xf numFmtId="0" fontId="26" fillId="11" borderId="6" xfId="0" applyFont="1" applyFill="1" applyBorder="1" applyAlignment="1">
      <alignment horizontal="center" vertical="center"/>
    </xf>
    <xf numFmtId="0" fontId="24" fillId="12" borderId="35" xfId="2" applyFont="1" applyFill="1" applyBorder="1" applyAlignment="1" applyProtection="1">
      <alignment horizontal="center"/>
      <protection locked="0"/>
    </xf>
    <xf numFmtId="0" fontId="24" fillId="18" borderId="32" xfId="2" applyFont="1" applyFill="1" applyBorder="1" applyAlignment="1" applyProtection="1">
      <alignment horizontal="center"/>
      <protection locked="0"/>
    </xf>
    <xf numFmtId="0" fontId="24" fillId="12" borderId="32" xfId="2" applyFont="1" applyFill="1" applyBorder="1" applyAlignment="1" applyProtection="1">
      <alignment horizontal="center"/>
      <protection locked="0"/>
    </xf>
    <xf numFmtId="0" fontId="24" fillId="18" borderId="36" xfId="2" applyFont="1" applyFill="1" applyBorder="1" applyAlignment="1" applyProtection="1">
      <alignment horizontal="center"/>
      <protection locked="0"/>
    </xf>
    <xf numFmtId="0" fontId="11" fillId="14" borderId="19" xfId="0" applyFont="1" applyFill="1" applyBorder="1"/>
    <xf numFmtId="0" fontId="11" fillId="14" borderId="20" xfId="0" applyFont="1" applyFill="1" applyBorder="1"/>
    <xf numFmtId="0" fontId="24" fillId="14" borderId="20" xfId="2" applyFont="1" applyFill="1" applyBorder="1" applyAlignment="1" applyProtection="1">
      <alignment horizontal="center"/>
      <protection locked="0"/>
    </xf>
    <xf numFmtId="0" fontId="24" fillId="18" borderId="27" xfId="2" applyFont="1" applyFill="1" applyBorder="1" applyAlignment="1" applyProtection="1">
      <alignment horizontal="center"/>
      <protection locked="0"/>
    </xf>
    <xf numFmtId="0" fontId="11" fillId="14" borderId="21" xfId="0" applyFont="1" applyFill="1" applyBorder="1"/>
    <xf numFmtId="0" fontId="11" fillId="14" borderId="5" xfId="0" applyFont="1" applyFill="1" applyBorder="1"/>
    <xf numFmtId="0" fontId="11" fillId="14" borderId="6" xfId="0" applyFont="1" applyFill="1" applyBorder="1"/>
    <xf numFmtId="0" fontId="24" fillId="14" borderId="6" xfId="2" applyFont="1" applyFill="1" applyBorder="1" applyAlignment="1" applyProtection="1">
      <alignment horizontal="center"/>
      <protection locked="0"/>
    </xf>
    <xf numFmtId="0" fontId="24" fillId="18" borderId="33" xfId="2" applyFont="1" applyFill="1" applyBorder="1" applyAlignment="1" applyProtection="1">
      <alignment horizontal="center"/>
      <protection locked="0"/>
    </xf>
    <xf numFmtId="0" fontId="11" fillId="14" borderId="24" xfId="0" applyFont="1" applyFill="1" applyBorder="1"/>
    <xf numFmtId="0" fontId="27" fillId="0" borderId="20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10" fillId="14" borderId="5" xfId="0" applyFont="1" applyFill="1" applyBorder="1"/>
    <xf numFmtId="0" fontId="10" fillId="14" borderId="6" xfId="0" applyFont="1" applyFill="1" applyBorder="1"/>
    <xf numFmtId="0" fontId="24" fillId="17" borderId="37" xfId="2" applyFont="1" applyFill="1" applyBorder="1" applyAlignment="1" applyProtection="1">
      <alignment horizontal="center"/>
      <protection locked="0"/>
    </xf>
    <xf numFmtId="0" fontId="24" fillId="16" borderId="37" xfId="2" applyFont="1" applyFill="1" applyBorder="1" applyAlignment="1" applyProtection="1">
      <alignment horizontal="center"/>
      <protection locked="0"/>
    </xf>
    <xf numFmtId="0" fontId="24" fillId="17" borderId="38" xfId="2" applyFont="1" applyFill="1" applyBorder="1" applyAlignment="1" applyProtection="1">
      <alignment horizontal="center"/>
      <protection locked="0"/>
    </xf>
    <xf numFmtId="0" fontId="25" fillId="13" borderId="5" xfId="6" applyFont="1" applyFill="1" applyBorder="1" applyAlignment="1">
      <alignment horizontal="center" vertical="center"/>
    </xf>
    <xf numFmtId="0" fontId="11" fillId="14" borderId="6" xfId="0" applyFont="1" applyFill="1" applyBorder="1" applyAlignment="1">
      <alignment horizontal="center" vertical="center"/>
    </xf>
    <xf numFmtId="0" fontId="25" fillId="9" borderId="34" xfId="7" applyFont="1" applyBorder="1" applyAlignment="1">
      <alignment horizontal="center" vertical="center"/>
    </xf>
    <xf numFmtId="0" fontId="24" fillId="18" borderId="37" xfId="2" applyFont="1" applyFill="1" applyBorder="1" applyAlignment="1" applyProtection="1">
      <alignment horizontal="center"/>
      <protection locked="0"/>
    </xf>
    <xf numFmtId="0" fontId="24" fillId="12" borderId="37" xfId="2" applyFont="1" applyFill="1" applyBorder="1" applyAlignment="1" applyProtection="1">
      <alignment horizontal="center"/>
      <protection locked="0"/>
    </xf>
    <xf numFmtId="0" fontId="24" fillId="18" borderId="38" xfId="2" applyFont="1" applyFill="1" applyBorder="1" applyAlignment="1" applyProtection="1">
      <alignment horizontal="center"/>
      <protection locked="0"/>
    </xf>
    <xf numFmtId="0" fontId="12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0" borderId="41" xfId="0" applyFont="1" applyBorder="1"/>
    <xf numFmtId="0" fontId="22" fillId="0" borderId="43" xfId="0" applyFont="1" applyBorder="1" applyAlignment="1">
      <alignment horizontal="center"/>
    </xf>
    <xf numFmtId="0" fontId="12" fillId="0" borderId="45" xfId="0" applyFont="1" applyBorder="1" applyProtection="1">
      <protection locked="0"/>
    </xf>
    <xf numFmtId="0" fontId="11" fillId="0" borderId="47" xfId="0" applyFont="1" applyBorder="1" applyProtection="1">
      <protection locked="0"/>
    </xf>
    <xf numFmtId="0" fontId="22" fillId="0" borderId="48" xfId="0" applyFont="1" applyBorder="1" applyAlignment="1">
      <alignment horizontal="center"/>
    </xf>
    <xf numFmtId="0" fontId="12" fillId="0" borderId="40" xfId="0" applyFont="1" applyBorder="1" applyAlignment="1">
      <alignment horizontal="center"/>
    </xf>
    <xf numFmtId="0" fontId="11" fillId="0" borderId="40" xfId="0" applyFont="1" applyBorder="1" applyAlignment="1">
      <alignment horizontal="center"/>
    </xf>
    <xf numFmtId="0" fontId="11" fillId="0" borderId="41" xfId="0" applyFont="1" applyBorder="1" applyAlignment="1">
      <alignment horizontal="center"/>
    </xf>
    <xf numFmtId="0" fontId="13" fillId="0" borderId="0" xfId="0" applyFont="1"/>
    <xf numFmtId="0" fontId="13" fillId="0" borderId="52" xfId="0" applyFont="1" applyBorder="1" applyProtection="1">
      <protection locked="0"/>
    </xf>
    <xf numFmtId="0" fontId="13" fillId="0" borderId="53" xfId="0" applyFont="1" applyBorder="1" applyProtection="1">
      <protection locked="0"/>
    </xf>
    <xf numFmtId="0" fontId="0" fillId="0" borderId="51" xfId="0" applyBorder="1" applyProtection="1">
      <protection locked="0"/>
    </xf>
    <xf numFmtId="0" fontId="11" fillId="0" borderId="54" xfId="0" applyFont="1" applyBorder="1" applyProtection="1">
      <protection locked="0"/>
    </xf>
    <xf numFmtId="0" fontId="22" fillId="0" borderId="55" xfId="0" applyFont="1" applyBorder="1" applyAlignment="1">
      <alignment horizontal="center"/>
    </xf>
    <xf numFmtId="0" fontId="13" fillId="0" borderId="59" xfId="0" applyFont="1" applyBorder="1" applyProtection="1">
      <protection locked="0"/>
    </xf>
    <xf numFmtId="0" fontId="13" fillId="0" borderId="60" xfId="0" applyFont="1" applyBorder="1" applyProtection="1">
      <protection locked="0"/>
    </xf>
    <xf numFmtId="0" fontId="11" fillId="0" borderId="60" xfId="0" applyFont="1" applyBorder="1" applyProtection="1">
      <protection locked="0"/>
    </xf>
    <xf numFmtId="0" fontId="11" fillId="0" borderId="58" xfId="0" applyFont="1" applyBorder="1" applyProtection="1">
      <protection locked="0"/>
    </xf>
    <xf numFmtId="0" fontId="2" fillId="8" borderId="61" xfId="9" applyBorder="1" applyProtection="1">
      <protection locked="0"/>
    </xf>
    <xf numFmtId="0" fontId="2" fillId="7" borderId="47" xfId="10" applyBorder="1" applyAlignment="1" applyProtection="1">
      <alignment horizontal="right"/>
      <protection locked="0"/>
    </xf>
    <xf numFmtId="0" fontId="11" fillId="0" borderId="9" xfId="0" applyFont="1" applyBorder="1" applyAlignment="1">
      <alignment horizontal="right"/>
    </xf>
    <xf numFmtId="0" fontId="2" fillId="7" borderId="9" xfId="10" applyBorder="1" applyProtection="1">
      <protection locked="0"/>
    </xf>
    <xf numFmtId="0" fontId="11" fillId="0" borderId="66" xfId="0" applyFont="1" applyBorder="1" applyProtection="1">
      <protection locked="0"/>
    </xf>
    <xf numFmtId="0" fontId="2" fillId="5" borderId="47" xfId="11" applyBorder="1" applyAlignment="1" applyProtection="1">
      <alignment horizontal="right"/>
      <protection locked="0"/>
    </xf>
    <xf numFmtId="0" fontId="2" fillId="5" borderId="9" xfId="11" applyBorder="1" applyProtection="1">
      <protection locked="0"/>
    </xf>
    <xf numFmtId="0" fontId="2" fillId="8" borderId="47" xfId="9" applyBorder="1" applyProtection="1">
      <protection locked="0"/>
    </xf>
    <xf numFmtId="0" fontId="2" fillId="8" borderId="69" xfId="9" applyBorder="1" applyProtection="1">
      <protection locked="0"/>
    </xf>
    <xf numFmtId="0" fontId="2" fillId="7" borderId="70" xfId="10" applyBorder="1" applyProtection="1">
      <protection locked="0"/>
    </xf>
    <xf numFmtId="0" fontId="11" fillId="0" borderId="71" xfId="0" applyFont="1" applyBorder="1" applyProtection="1">
      <protection locked="0"/>
    </xf>
    <xf numFmtId="0" fontId="2" fillId="5" borderId="70" xfId="11" applyBorder="1" applyProtection="1">
      <protection locked="0"/>
    </xf>
    <xf numFmtId="0" fontId="29" fillId="0" borderId="0" xfId="0" applyFont="1"/>
    <xf numFmtId="0" fontId="12" fillId="11" borderId="0" xfId="0" applyFont="1" applyFill="1"/>
    <xf numFmtId="0" fontId="13" fillId="0" borderId="0" xfId="0" applyFont="1" applyAlignment="1">
      <alignment horizontal="center"/>
    </xf>
    <xf numFmtId="0" fontId="12" fillId="11" borderId="5" xfId="0" applyFont="1" applyFill="1" applyBorder="1"/>
    <xf numFmtId="0" fontId="12" fillId="11" borderId="6" xfId="0" applyFont="1" applyFill="1" applyBorder="1"/>
    <xf numFmtId="0" fontId="12" fillId="11" borderId="24" xfId="0" applyFont="1" applyFill="1" applyBorder="1"/>
    <xf numFmtId="0" fontId="12" fillId="11" borderId="20" xfId="0" applyFont="1" applyFill="1" applyBorder="1"/>
    <xf numFmtId="0" fontId="10" fillId="11" borderId="20" xfId="0" applyFont="1" applyFill="1" applyBorder="1"/>
    <xf numFmtId="0" fontId="10" fillId="11" borderId="21" xfId="0" applyFont="1" applyFill="1" applyBorder="1"/>
    <xf numFmtId="0" fontId="4" fillId="2" borderId="2" xfId="2" applyAlignment="1">
      <alignment horizontal="center"/>
    </xf>
    <xf numFmtId="0" fontId="10" fillId="11" borderId="0" xfId="0" applyFont="1" applyFill="1"/>
    <xf numFmtId="0" fontId="10" fillId="11" borderId="23" xfId="0" applyFont="1" applyFill="1" applyBorder="1"/>
    <xf numFmtId="0" fontId="31" fillId="19" borderId="0" xfId="0" applyFont="1" applyFill="1" applyAlignment="1">
      <alignment horizontal="center" vertical="center"/>
    </xf>
    <xf numFmtId="0" fontId="30" fillId="20" borderId="0" xfId="0" applyFont="1" applyFill="1" applyAlignment="1">
      <alignment horizontal="center" vertical="center"/>
    </xf>
    <xf numFmtId="0" fontId="12" fillId="20" borderId="0" xfId="0" applyFont="1" applyFill="1"/>
    <xf numFmtId="0" fontId="10" fillId="11" borderId="6" xfId="0" applyFont="1" applyFill="1" applyBorder="1"/>
    <xf numFmtId="0" fontId="10" fillId="11" borderId="24" xfId="0" applyFont="1" applyFill="1" applyBorder="1"/>
    <xf numFmtId="0" fontId="31" fillId="19" borderId="39" xfId="0" applyFont="1" applyFill="1" applyBorder="1" applyAlignment="1">
      <alignment horizontal="center" vertical="center"/>
    </xf>
    <xf numFmtId="0" fontId="12" fillId="11" borderId="40" xfId="0" applyFont="1" applyFill="1" applyBorder="1"/>
    <xf numFmtId="0" fontId="10" fillId="11" borderId="40" xfId="0" applyFont="1" applyFill="1" applyBorder="1"/>
    <xf numFmtId="0" fontId="10" fillId="11" borderId="41" xfId="0" applyFont="1" applyFill="1" applyBorder="1"/>
    <xf numFmtId="0" fontId="10" fillId="0" borderId="0" xfId="0" applyFont="1" applyAlignment="1">
      <alignment horizontal="center"/>
    </xf>
    <xf numFmtId="0" fontId="11" fillId="0" borderId="0" xfId="0" quotePrefix="1" applyFont="1" applyAlignment="1">
      <alignment horizontal="center"/>
    </xf>
    <xf numFmtId="0" fontId="11" fillId="0" borderId="0" xfId="0" applyFont="1" applyProtection="1">
      <protection hidden="1"/>
    </xf>
    <xf numFmtId="0" fontId="33" fillId="0" borderId="0" xfId="12" applyFont="1" applyBorder="1"/>
    <xf numFmtId="0" fontId="3" fillId="0" borderId="77" xfId="1" applyBorder="1"/>
    <xf numFmtId="0" fontId="3" fillId="0" borderId="78" xfId="1" applyBorder="1"/>
    <xf numFmtId="20" fontId="11" fillId="0" borderId="42" xfId="0" applyNumberFormat="1" applyFont="1" applyBorder="1" applyAlignment="1">
      <alignment vertical="top"/>
    </xf>
    <xf numFmtId="0" fontId="11" fillId="0" borderId="44" xfId="0" applyFont="1" applyBorder="1"/>
    <xf numFmtId="0" fontId="34" fillId="0" borderId="44" xfId="0" applyFont="1" applyBorder="1"/>
    <xf numFmtId="0" fontId="34" fillId="0" borderId="79" xfId="0" applyFont="1" applyBorder="1"/>
    <xf numFmtId="0" fontId="11" fillId="0" borderId="79" xfId="0" applyFont="1" applyBorder="1"/>
    <xf numFmtId="0" fontId="35" fillId="0" borderId="22" xfId="0" applyFont="1" applyBorder="1" applyAlignment="1">
      <alignment horizontal="left" indent="1"/>
    </xf>
    <xf numFmtId="0" fontId="11" fillId="0" borderId="0" xfId="0" applyFont="1" applyAlignment="1">
      <alignment horizontal="left"/>
    </xf>
    <xf numFmtId="0" fontId="3" fillId="0" borderId="0" xfId="1" applyBorder="1"/>
    <xf numFmtId="0" fontId="0" fillId="0" borderId="53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56" xfId="0" applyBorder="1" applyProtection="1">
      <protection locked="0"/>
    </xf>
    <xf numFmtId="0" fontId="1" fillId="5" borderId="9" xfId="11" applyFont="1" applyBorder="1" applyProtection="1">
      <protection locked="0"/>
    </xf>
    <xf numFmtId="0" fontId="0" fillId="0" borderId="42" xfId="0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22" fontId="0" fillId="0" borderId="0" xfId="0" applyNumberFormat="1" applyProtection="1">
      <protection locked="0"/>
    </xf>
    <xf numFmtId="0" fontId="0" fillId="0" borderId="0" xfId="0" applyFont="1" applyProtection="1">
      <protection locked="0"/>
    </xf>
    <xf numFmtId="0" fontId="11" fillId="0" borderId="80" xfId="0" applyFont="1" applyBorder="1" applyAlignment="1">
      <alignment horizontal="right"/>
    </xf>
    <xf numFmtId="0" fontId="11" fillId="0" borderId="0" xfId="0" applyFont="1" applyBorder="1"/>
    <xf numFmtId="0" fontId="11" fillId="0" borderId="9" xfId="0" applyFont="1" applyBorder="1"/>
    <xf numFmtId="0" fontId="11" fillId="0" borderId="9" xfId="0" applyFont="1" applyBorder="1" applyAlignment="1"/>
    <xf numFmtId="0" fontId="3" fillId="0" borderId="0" xfId="1" applyBorder="1" applyAlignment="1">
      <alignment horizontal="center"/>
    </xf>
    <xf numFmtId="0" fontId="11" fillId="0" borderId="81" xfId="0" applyFont="1" applyBorder="1"/>
    <xf numFmtId="0" fontId="11" fillId="0" borderId="56" xfId="0" applyFont="1" applyBorder="1"/>
    <xf numFmtId="0" fontId="11" fillId="0" borderId="82" xfId="0" applyFont="1" applyBorder="1"/>
    <xf numFmtId="0" fontId="11" fillId="0" borderId="0" xfId="0" applyFont="1" applyBorder="1" applyAlignment="1">
      <alignment horizontal="right"/>
    </xf>
    <xf numFmtId="0" fontId="0" fillId="0" borderId="0" xfId="0" applyBorder="1"/>
    <xf numFmtId="0" fontId="11" fillId="0" borderId="0" xfId="0" applyFont="1" applyBorder="1" applyProtection="1">
      <protection locked="0"/>
    </xf>
    <xf numFmtId="0" fontId="3" fillId="0" borderId="1" xfId="1" applyBorder="1"/>
    <xf numFmtId="0" fontId="3" fillId="0" borderId="1" xfId="1" applyBorder="1" applyAlignment="1">
      <alignment horizontal="center"/>
    </xf>
    <xf numFmtId="0" fontId="0" fillId="0" borderId="0" xfId="0" applyBorder="1" applyProtection="1">
      <protection locked="0"/>
    </xf>
    <xf numFmtId="22" fontId="0" fillId="0" borderId="0" xfId="0" applyNumberFormat="1" applyBorder="1" applyProtection="1">
      <protection locked="0"/>
    </xf>
    <xf numFmtId="0" fontId="10" fillId="0" borderId="0" xfId="0" applyFont="1" applyBorder="1" applyProtection="1">
      <protection locked="0"/>
    </xf>
    <xf numFmtId="0" fontId="11" fillId="0" borderId="0" xfId="0" quotePrefix="1" applyFont="1"/>
    <xf numFmtId="0" fontId="10" fillId="0" borderId="0" xfId="0" applyFont="1" applyAlignment="1">
      <alignment horizontal="right"/>
    </xf>
    <xf numFmtId="0" fontId="10" fillId="0" borderId="13" xfId="0" applyFont="1" applyBorder="1" applyAlignment="1">
      <alignment horizontal="left"/>
    </xf>
    <xf numFmtId="0" fontId="5" fillId="3" borderId="3" xfId="3" applyAlignment="1" applyProtection="1">
      <alignment horizontal="left"/>
      <protection locked="0"/>
    </xf>
    <xf numFmtId="0" fontId="5" fillId="3" borderId="3" xfId="3" applyAlignment="1" applyProtection="1">
      <alignment horizontal="center"/>
      <protection locked="0"/>
    </xf>
    <xf numFmtId="0" fontId="5" fillId="3" borderId="8" xfId="3" applyBorder="1" applyAlignment="1" applyProtection="1">
      <alignment horizontal="center"/>
      <protection locked="0"/>
    </xf>
    <xf numFmtId="0" fontId="5" fillId="3" borderId="10" xfId="3" applyBorder="1" applyAlignment="1" applyProtection="1">
      <alignment horizontal="center"/>
      <protection locked="0"/>
    </xf>
    <xf numFmtId="0" fontId="11" fillId="0" borderId="11" xfId="0" applyFont="1" applyBorder="1" applyAlignment="1">
      <alignment horizontal="right"/>
    </xf>
    <xf numFmtId="0" fontId="11" fillId="0" borderId="12" xfId="0" applyFont="1" applyBorder="1" applyAlignment="1">
      <alignment horizontal="right"/>
    </xf>
    <xf numFmtId="0" fontId="16" fillId="0" borderId="22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23" xfId="0" applyFont="1" applyBorder="1" applyAlignment="1">
      <alignment horizontal="center"/>
    </xf>
    <xf numFmtId="0" fontId="5" fillId="3" borderId="14" xfId="3" applyBorder="1" applyAlignment="1" applyProtection="1">
      <alignment horizontal="left" vertical="top" wrapText="1"/>
      <protection locked="0"/>
    </xf>
    <xf numFmtId="0" fontId="5" fillId="3" borderId="13" xfId="3" applyBorder="1" applyAlignment="1" applyProtection="1">
      <alignment horizontal="left" vertical="top" wrapText="1"/>
      <protection locked="0"/>
    </xf>
    <xf numFmtId="0" fontId="5" fillId="3" borderId="15" xfId="3" applyBorder="1" applyAlignment="1" applyProtection="1">
      <alignment horizontal="left" vertical="top" wrapText="1"/>
      <protection locked="0"/>
    </xf>
    <xf numFmtId="0" fontId="5" fillId="3" borderId="16" xfId="3" applyBorder="1" applyAlignment="1" applyProtection="1">
      <alignment horizontal="left" vertical="top" wrapText="1"/>
      <protection locked="0"/>
    </xf>
    <xf numFmtId="0" fontId="5" fillId="3" borderId="17" xfId="3" applyBorder="1" applyAlignment="1" applyProtection="1">
      <alignment horizontal="left" vertical="top" wrapText="1"/>
      <protection locked="0"/>
    </xf>
    <xf numFmtId="0" fontId="5" fillId="3" borderId="18" xfId="3" applyBorder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right"/>
    </xf>
    <xf numFmtId="22" fontId="11" fillId="0" borderId="0" xfId="0" applyNumberFormat="1" applyFont="1" applyAlignment="1">
      <alignment horizontal="left"/>
    </xf>
    <xf numFmtId="0" fontId="13" fillId="0" borderId="19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/>
    </xf>
    <xf numFmtId="0" fontId="11" fillId="0" borderId="20" xfId="0" applyFont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16" fillId="0" borderId="2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8" fillId="10" borderId="19" xfId="8" applyBorder="1" applyAlignment="1">
      <alignment horizontal="center"/>
    </xf>
    <xf numFmtId="0" fontId="8" fillId="10" borderId="20" xfId="8" applyBorder="1" applyAlignment="1">
      <alignment horizontal="center"/>
    </xf>
    <xf numFmtId="0" fontId="8" fillId="10" borderId="21" xfId="8" applyBorder="1" applyAlignment="1">
      <alignment horizontal="center"/>
    </xf>
    <xf numFmtId="0" fontId="19" fillId="0" borderId="0" xfId="5" applyFont="1" applyAlignment="1">
      <alignment horizontal="center"/>
    </xf>
    <xf numFmtId="0" fontId="11" fillId="0" borderId="20" xfId="0" applyFont="1" applyBorder="1" applyAlignment="1">
      <alignment horizontal="center" vertical="center"/>
    </xf>
    <xf numFmtId="0" fontId="20" fillId="0" borderId="0" xfId="0" applyFont="1" applyAlignment="1">
      <alignment vertical="center" wrapText="1"/>
    </xf>
    <xf numFmtId="0" fontId="20" fillId="0" borderId="0" xfId="0" applyFont="1" applyAlignment="1">
      <alignment horizontal="left" vertical="center" wrapText="1"/>
    </xf>
    <xf numFmtId="0" fontId="21" fillId="8" borderId="0" xfId="9" applyFont="1" applyAlignment="1" applyProtection="1">
      <alignment horizontal="center"/>
      <protection locked="0"/>
    </xf>
    <xf numFmtId="0" fontId="0" fillId="0" borderId="20" xfId="0" applyBorder="1" applyAlignment="1" applyProtection="1">
      <alignment horizontal="left" vertical="top" wrapText="1"/>
      <protection locked="0"/>
    </xf>
    <xf numFmtId="0" fontId="10" fillId="0" borderId="20" xfId="0" applyFont="1" applyBorder="1" applyAlignment="1" applyProtection="1">
      <alignment horizontal="left" vertical="top" wrapText="1"/>
      <protection locked="0"/>
    </xf>
    <xf numFmtId="0" fontId="10" fillId="0" borderId="21" xfId="0" applyFont="1" applyBorder="1" applyAlignment="1" applyProtection="1">
      <alignment horizontal="left" vertical="top" wrapText="1"/>
      <protection locked="0"/>
    </xf>
    <xf numFmtId="0" fontId="10" fillId="0" borderId="0" xfId="0" applyFont="1" applyAlignment="1" applyProtection="1">
      <alignment horizontal="left" vertical="top" wrapText="1"/>
      <protection locked="0"/>
    </xf>
    <xf numFmtId="0" fontId="10" fillId="0" borderId="23" xfId="0" applyFont="1" applyBorder="1" applyAlignment="1" applyProtection="1">
      <alignment horizontal="left" vertical="top" wrapText="1"/>
      <protection locked="0"/>
    </xf>
    <xf numFmtId="0" fontId="28" fillId="14" borderId="20" xfId="0" applyFont="1" applyFill="1" applyBorder="1" applyAlignment="1">
      <alignment horizontal="center" vertical="center"/>
    </xf>
    <xf numFmtId="0" fontId="28" fillId="14" borderId="5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left"/>
    </xf>
    <xf numFmtId="0" fontId="23" fillId="13" borderId="19" xfId="0" applyFont="1" applyFill="1" applyBorder="1" applyAlignment="1">
      <alignment horizontal="center"/>
    </xf>
    <xf numFmtId="0" fontId="23" fillId="13" borderId="20" xfId="0" applyFont="1" applyFill="1" applyBorder="1" applyAlignment="1">
      <alignment horizontal="center"/>
    </xf>
    <xf numFmtId="0" fontId="23" fillId="14" borderId="19" xfId="0" applyFont="1" applyFill="1" applyBorder="1" applyAlignment="1">
      <alignment horizontal="center" vertical="center"/>
    </xf>
    <xf numFmtId="0" fontId="23" fillId="14" borderId="20" xfId="0" applyFont="1" applyFill="1" applyBorder="1" applyAlignment="1">
      <alignment horizontal="center" vertical="center"/>
    </xf>
    <xf numFmtId="0" fontId="23" fillId="14" borderId="21" xfId="0" applyFont="1" applyFill="1" applyBorder="1" applyAlignment="1">
      <alignment horizontal="center" vertical="center"/>
    </xf>
    <xf numFmtId="0" fontId="23" fillId="14" borderId="5" xfId="0" applyFont="1" applyFill="1" applyBorder="1" applyAlignment="1">
      <alignment horizontal="center" vertical="center"/>
    </xf>
    <xf numFmtId="0" fontId="23" fillId="14" borderId="6" xfId="0" applyFont="1" applyFill="1" applyBorder="1" applyAlignment="1">
      <alignment horizontal="center" vertical="center"/>
    </xf>
    <xf numFmtId="0" fontId="23" fillId="14" borderId="24" xfId="0" applyFont="1" applyFill="1" applyBorder="1" applyAlignment="1">
      <alignment horizontal="center" vertical="center"/>
    </xf>
    <xf numFmtId="0" fontId="23" fillId="15" borderId="20" xfId="0" applyFont="1" applyFill="1" applyBorder="1" applyAlignment="1">
      <alignment horizontal="center"/>
    </xf>
    <xf numFmtId="0" fontId="23" fillId="15" borderId="21" xfId="0" applyFont="1" applyFill="1" applyBorder="1" applyAlignment="1">
      <alignment horizontal="center"/>
    </xf>
    <xf numFmtId="0" fontId="25" fillId="13" borderId="19" xfId="6" applyFont="1" applyFill="1" applyBorder="1" applyAlignment="1">
      <alignment horizontal="center" vertical="center"/>
    </xf>
    <xf numFmtId="0" fontId="25" fillId="13" borderId="5" xfId="6" applyFont="1" applyFill="1" applyBorder="1" applyAlignment="1">
      <alignment horizontal="center" vertical="center"/>
    </xf>
    <xf numFmtId="0" fontId="25" fillId="9" borderId="28" xfId="7" applyFont="1" applyBorder="1" applyAlignment="1">
      <alignment horizontal="center" vertical="center"/>
    </xf>
    <xf numFmtId="0" fontId="25" fillId="9" borderId="34" xfId="7" applyFont="1" applyBorder="1" applyAlignment="1">
      <alignment horizontal="center" vertical="center"/>
    </xf>
    <xf numFmtId="0" fontId="23" fillId="14" borderId="28" xfId="0" applyFont="1" applyFill="1" applyBorder="1" applyAlignment="1">
      <alignment horizontal="center" vertical="center"/>
    </xf>
    <xf numFmtId="0" fontId="23" fillId="14" borderId="34" xfId="0" applyFont="1" applyFill="1" applyBorder="1" applyAlignment="1">
      <alignment horizontal="center" vertical="center"/>
    </xf>
    <xf numFmtId="0" fontId="28" fillId="14" borderId="6" xfId="0" applyFont="1" applyFill="1" applyBorder="1" applyAlignment="1">
      <alignment horizontal="center" vertical="center"/>
    </xf>
    <xf numFmtId="0" fontId="25" fillId="14" borderId="39" xfId="4" applyFont="1" applyFill="1" applyBorder="1" applyAlignment="1">
      <alignment horizontal="center"/>
    </xf>
    <xf numFmtId="0" fontId="0" fillId="0" borderId="40" xfId="0" applyBorder="1"/>
    <xf numFmtId="0" fontId="10" fillId="0" borderId="19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0" fillId="0" borderId="6" xfId="0" applyFont="1" applyBorder="1" applyAlignment="1" applyProtection="1">
      <alignment horizontal="left" vertical="top" wrapText="1"/>
      <protection locked="0"/>
    </xf>
    <xf numFmtId="0" fontId="10" fillId="0" borderId="24" xfId="0" applyFont="1" applyBorder="1" applyAlignment="1" applyProtection="1">
      <alignment horizontal="left" vertical="top" wrapText="1"/>
      <protection locked="0"/>
    </xf>
    <xf numFmtId="0" fontId="10" fillId="0" borderId="20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25" fillId="9" borderId="21" xfId="7" applyFont="1" applyBorder="1" applyAlignment="1">
      <alignment horizontal="center" vertical="center"/>
    </xf>
    <xf numFmtId="0" fontId="25" fillId="9" borderId="24" xfId="7" applyFont="1" applyBorder="1" applyAlignment="1">
      <alignment horizontal="center" vertical="center"/>
    </xf>
    <xf numFmtId="0" fontId="10" fillId="0" borderId="22" xfId="0" applyFont="1" applyBorder="1" applyAlignment="1" applyProtection="1">
      <alignment horizontal="left" vertical="top" wrapText="1"/>
      <protection locked="0"/>
    </xf>
    <xf numFmtId="0" fontId="10" fillId="0" borderId="5" xfId="0" applyFont="1" applyBorder="1" applyAlignment="1" applyProtection="1">
      <alignment horizontal="left" vertical="top" wrapText="1"/>
      <protection locked="0"/>
    </xf>
    <xf numFmtId="0" fontId="10" fillId="0" borderId="45" xfId="0" applyFont="1" applyBorder="1" applyAlignment="1">
      <alignment horizontal="center"/>
    </xf>
    <xf numFmtId="0" fontId="0" fillId="0" borderId="46" xfId="0" applyBorder="1"/>
    <xf numFmtId="0" fontId="10" fillId="0" borderId="49" xfId="0" applyFont="1" applyBorder="1" applyAlignment="1">
      <alignment horizontal="center"/>
    </xf>
    <xf numFmtId="0" fontId="0" fillId="0" borderId="50" xfId="0" applyBorder="1"/>
    <xf numFmtId="0" fontId="0" fillId="0" borderId="41" xfId="0" applyBorder="1"/>
    <xf numFmtId="0" fontId="0" fillId="0" borderId="51" xfId="0" applyBorder="1"/>
    <xf numFmtId="0" fontId="10" fillId="0" borderId="57" xfId="0" applyFont="1" applyBorder="1" applyAlignment="1">
      <alignment horizontal="center"/>
    </xf>
    <xf numFmtId="0" fontId="0" fillId="0" borderId="58" xfId="0" applyBorder="1"/>
    <xf numFmtId="0" fontId="2" fillId="8" borderId="62" xfId="9" applyBorder="1" applyAlignment="1" applyProtection="1">
      <alignment horizontal="center"/>
      <protection locked="0"/>
    </xf>
    <xf numFmtId="0" fontId="2" fillId="8" borderId="63" xfId="9" applyBorder="1" applyAlignment="1" applyProtection="1">
      <alignment horizontal="center"/>
      <protection locked="0"/>
    </xf>
    <xf numFmtId="0" fontId="13" fillId="0" borderId="22" xfId="0" applyFont="1" applyBorder="1" applyAlignment="1" applyProtection="1">
      <alignment horizontal="left" vertical="top" wrapText="1"/>
      <protection locked="0"/>
    </xf>
    <xf numFmtId="0" fontId="13" fillId="0" borderId="0" xfId="0" applyFont="1" applyAlignment="1" applyProtection="1">
      <alignment horizontal="left" vertical="top" wrapText="1"/>
      <protection locked="0"/>
    </xf>
    <xf numFmtId="0" fontId="13" fillId="0" borderId="67" xfId="0" applyFont="1" applyBorder="1" applyAlignment="1" applyProtection="1">
      <alignment horizontal="left" vertical="top" wrapText="1"/>
      <protection locked="0"/>
    </xf>
    <xf numFmtId="0" fontId="13" fillId="0" borderId="72" xfId="0" applyFont="1" applyBorder="1" applyAlignment="1" applyProtection="1">
      <alignment horizontal="left" vertical="top" wrapText="1"/>
      <protection locked="0"/>
    </xf>
    <xf numFmtId="0" fontId="13" fillId="0" borderId="73" xfId="0" applyFont="1" applyBorder="1" applyAlignment="1" applyProtection="1">
      <alignment horizontal="left" vertical="top" wrapText="1"/>
      <protection locked="0"/>
    </xf>
    <xf numFmtId="0" fontId="13" fillId="0" borderId="74" xfId="0" applyFont="1" applyBorder="1" applyAlignment="1" applyProtection="1">
      <alignment horizontal="left" vertical="top" wrapText="1"/>
      <protection locked="0"/>
    </xf>
    <xf numFmtId="0" fontId="0" fillId="0" borderId="68" xfId="0" applyBorder="1" applyAlignment="1" applyProtection="1">
      <alignment horizontal="center" vertical="top" wrapText="1"/>
      <protection locked="0"/>
    </xf>
    <xf numFmtId="0" fontId="10" fillId="0" borderId="0" xfId="0" applyFont="1" applyAlignment="1" applyProtection="1">
      <alignment horizontal="center" vertical="top" wrapText="1"/>
      <protection locked="0"/>
    </xf>
    <xf numFmtId="0" fontId="10" fillId="0" borderId="67" xfId="0" applyFont="1" applyBorder="1" applyAlignment="1" applyProtection="1">
      <alignment horizontal="center" vertical="top" wrapText="1"/>
      <protection locked="0"/>
    </xf>
    <xf numFmtId="0" fontId="2" fillId="8" borderId="9" xfId="9" applyBorder="1" applyAlignment="1" applyProtection="1">
      <alignment horizontal="center"/>
      <protection locked="0"/>
    </xf>
    <xf numFmtId="0" fontId="2" fillId="8" borderId="66" xfId="9" applyBorder="1" applyAlignment="1" applyProtection="1">
      <alignment horizontal="center"/>
      <protection locked="0"/>
    </xf>
    <xf numFmtId="0" fontId="0" fillId="0" borderId="68" xfId="0" applyBorder="1" applyAlignment="1" applyProtection="1">
      <alignment horizontal="left" vertical="top" wrapText="1"/>
      <protection locked="0"/>
    </xf>
    <xf numFmtId="0" fontId="10" fillId="0" borderId="67" xfId="0" applyFont="1" applyBorder="1" applyAlignment="1" applyProtection="1">
      <alignment horizontal="left" vertical="top" wrapText="1"/>
      <protection locked="0"/>
    </xf>
    <xf numFmtId="0" fontId="10" fillId="0" borderId="68" xfId="0" applyFont="1" applyBorder="1" applyAlignment="1" applyProtection="1">
      <alignment horizontal="left" vertical="top" wrapText="1"/>
      <protection locked="0"/>
    </xf>
    <xf numFmtId="0" fontId="10" fillId="0" borderId="75" xfId="0" applyFont="1" applyBorder="1" applyAlignment="1" applyProtection="1">
      <alignment horizontal="left" vertical="top" wrapText="1"/>
      <protection locked="0"/>
    </xf>
    <xf numFmtId="0" fontId="10" fillId="0" borderId="73" xfId="0" applyFont="1" applyBorder="1" applyAlignment="1" applyProtection="1">
      <alignment horizontal="left" vertical="top" wrapText="1"/>
      <protection locked="0"/>
    </xf>
    <xf numFmtId="0" fontId="10" fillId="0" borderId="74" xfId="0" applyFont="1" applyBorder="1" applyAlignment="1" applyProtection="1">
      <alignment horizontal="left" vertical="top" wrapText="1"/>
      <protection locked="0"/>
    </xf>
    <xf numFmtId="0" fontId="11" fillId="0" borderId="47" xfId="0" applyFont="1" applyBorder="1" applyAlignment="1">
      <alignment horizontal="right"/>
    </xf>
    <xf numFmtId="0" fontId="11" fillId="0" borderId="9" xfId="0" applyFont="1" applyBorder="1" applyAlignment="1">
      <alignment horizontal="right"/>
    </xf>
    <xf numFmtId="0" fontId="2" fillId="8" borderId="70" xfId="9" applyBorder="1" applyAlignment="1" applyProtection="1">
      <alignment horizontal="center"/>
      <protection locked="0"/>
    </xf>
    <xf numFmtId="0" fontId="2" fillId="8" borderId="71" xfId="9" applyBorder="1" applyAlignment="1" applyProtection="1">
      <alignment horizontal="center"/>
      <protection locked="0"/>
    </xf>
    <xf numFmtId="0" fontId="11" fillId="0" borderId="69" xfId="0" applyFont="1" applyBorder="1" applyAlignment="1">
      <alignment horizontal="right"/>
    </xf>
    <xf numFmtId="0" fontId="11" fillId="0" borderId="70" xfId="0" applyFont="1" applyBorder="1" applyAlignment="1">
      <alignment horizontal="right"/>
    </xf>
    <xf numFmtId="0" fontId="11" fillId="0" borderId="61" xfId="0" applyFont="1" applyBorder="1" applyAlignment="1">
      <alignment horizontal="center"/>
    </xf>
    <xf numFmtId="0" fontId="11" fillId="0" borderId="62" xfId="0" applyFont="1" applyBorder="1" applyAlignment="1">
      <alignment horizontal="center"/>
    </xf>
    <xf numFmtId="0" fontId="11" fillId="0" borderId="63" xfId="0" applyFont="1" applyBorder="1" applyAlignment="1">
      <alignment horizontal="center"/>
    </xf>
    <xf numFmtId="0" fontId="23" fillId="14" borderId="64" xfId="0" applyFont="1" applyFill="1" applyBorder="1" applyAlignment="1">
      <alignment horizontal="center" vertical="center"/>
    </xf>
    <xf numFmtId="0" fontId="23" fillId="14" borderId="65" xfId="0" applyFont="1" applyFill="1" applyBorder="1" applyAlignment="1">
      <alignment horizontal="center" vertical="center"/>
    </xf>
    <xf numFmtId="0" fontId="31" fillId="19" borderId="19" xfId="0" applyFont="1" applyFill="1" applyBorder="1" applyAlignment="1">
      <alignment horizontal="center" vertical="center"/>
    </xf>
    <xf numFmtId="0" fontId="31" fillId="19" borderId="22" xfId="0" applyFont="1" applyFill="1" applyBorder="1" applyAlignment="1">
      <alignment horizontal="center" vertical="center"/>
    </xf>
    <xf numFmtId="0" fontId="31" fillId="19" borderId="5" xfId="0" applyFont="1" applyFill="1" applyBorder="1" applyAlignment="1">
      <alignment horizontal="center" vertical="center"/>
    </xf>
    <xf numFmtId="0" fontId="23" fillId="9" borderId="19" xfId="7" applyFont="1" applyBorder="1" applyAlignment="1">
      <alignment horizontal="center" vertical="center"/>
    </xf>
    <xf numFmtId="0" fontId="23" fillId="9" borderId="20" xfId="7" applyFont="1" applyBorder="1" applyAlignment="1">
      <alignment horizontal="center" vertical="center"/>
    </xf>
    <xf numFmtId="0" fontId="23" fillId="9" borderId="21" xfId="7" applyFont="1" applyBorder="1" applyAlignment="1">
      <alignment horizontal="center" vertical="center"/>
    </xf>
    <xf numFmtId="0" fontId="3" fillId="0" borderId="46" xfId="1" applyBorder="1" applyAlignment="1">
      <alignment horizontal="center"/>
    </xf>
    <xf numFmtId="0" fontId="3" fillId="0" borderId="44" xfId="1" applyBorder="1" applyAlignment="1">
      <alignment horizontal="center"/>
    </xf>
    <xf numFmtId="0" fontId="11" fillId="0" borderId="0" xfId="0" applyFont="1" applyBorder="1" applyAlignment="1">
      <alignment horizontal="right"/>
    </xf>
    <xf numFmtId="0" fontId="11" fillId="0" borderId="0" xfId="0" applyFont="1" applyAlignment="1">
      <alignment horizontal="center"/>
    </xf>
    <xf numFmtId="0" fontId="30" fillId="19" borderId="19" xfId="0" applyFont="1" applyFill="1" applyBorder="1" applyAlignment="1">
      <alignment horizontal="center"/>
    </xf>
    <xf numFmtId="0" fontId="30" fillId="19" borderId="20" xfId="0" applyFont="1" applyFill="1" applyBorder="1" applyAlignment="1">
      <alignment horizontal="center"/>
    </xf>
    <xf numFmtId="0" fontId="30" fillId="19" borderId="21" xfId="0" applyFont="1" applyFill="1" applyBorder="1" applyAlignment="1">
      <alignment horizontal="center"/>
    </xf>
  </cellXfs>
  <cellStyles count="13">
    <cellStyle name="20% - Accent1 2" xfId="11" xr:uid="{00000000-0005-0000-0000-000000000000}"/>
    <cellStyle name="20% - Accent3 2" xfId="9" xr:uid="{00000000-0005-0000-0000-000001000000}"/>
    <cellStyle name="40% - Accent2 2" xfId="10" xr:uid="{00000000-0005-0000-0000-000002000000}"/>
    <cellStyle name="Accent2" xfId="6" builtinId="33"/>
    <cellStyle name="Accent5" xfId="7" builtinId="45"/>
    <cellStyle name="Accent6" xfId="8" builtinId="49"/>
    <cellStyle name="Check Cell" xfId="4" builtinId="23"/>
    <cellStyle name="Heading 2 2" xfId="12" xr:uid="{00000000-0005-0000-0000-000007000000}"/>
    <cellStyle name="Heading 3" xfId="1" builtinId="18"/>
    <cellStyle name="Input" xfId="2" builtinId="20"/>
    <cellStyle name="Normal" xfId="0" builtinId="0"/>
    <cellStyle name="Output" xfId="3" builtinId="21"/>
    <cellStyle name="Warning Text" xfId="5" builtinId="11"/>
  </cellStyles>
  <dxfs count="247">
    <dxf>
      <font>
        <b val="0"/>
        <i/>
        <strike/>
      </font>
    </dxf>
    <dxf>
      <font>
        <b val="0"/>
        <i/>
        <strike/>
      </font>
    </dxf>
    <dxf>
      <font>
        <b val="0"/>
        <i/>
        <strike/>
      </font>
    </dxf>
    <dxf>
      <font>
        <b val="0"/>
        <i/>
        <strike/>
      </font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27" formatCode="d/mm/yyyy\ h:mm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12" Type="http://schemas.openxmlformats.org/officeDocument/2006/relationships/chartUserShapes" Target="../drawings/drawing3.xml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1" Type="http://schemas.openxmlformats.org/officeDocument/2006/relationships/image" Target="../media/image17.png"/><Relationship Id="rId5" Type="http://schemas.openxmlformats.org/officeDocument/2006/relationships/image" Target="../media/image11.png"/><Relationship Id="rId10" Type="http://schemas.openxmlformats.org/officeDocument/2006/relationships/image" Target="../media/image16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20.png"/><Relationship Id="rId7" Type="http://schemas.openxmlformats.org/officeDocument/2006/relationships/image" Target="../media/image1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13.png"/><Relationship Id="rId11" Type="http://schemas.openxmlformats.org/officeDocument/2006/relationships/chartUserShapes" Target="../drawings/drawing4.xml"/><Relationship Id="rId5" Type="http://schemas.openxmlformats.org/officeDocument/2006/relationships/image" Target="../media/image22.png"/><Relationship Id="rId10" Type="http://schemas.openxmlformats.org/officeDocument/2006/relationships/image" Target="../media/image17.png"/><Relationship Id="rId4" Type="http://schemas.openxmlformats.org/officeDocument/2006/relationships/image" Target="../media/image21.png"/><Relationship Id="rId9" Type="http://schemas.openxmlformats.org/officeDocument/2006/relationships/image" Target="../media/image16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PTA!$F$72:$P$72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55-40A8-928C-2A2A1B2ABAA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PTA!$F$75:$P$75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55-40A8-928C-2A2A1B2ABAA2}"/>
            </c:ext>
          </c:extLst>
        </c:ser>
        <c:ser>
          <c:idx val="2"/>
          <c:order val="2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25400" cap="rnd" cmpd="sng" algn="ctr">
              <a:solidFill>
                <a:prstClr val="black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PTA!$F$79:$P$79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55-40A8-928C-2A2A1B2ABAA2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PTA!$F$92:$P$92</c:f>
              <c:numCache>
                <c:formatCode>General</c:formatCode>
                <c:ptCount val="11"/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55-40A8-928C-2A2A1B2ABAA2}"/>
            </c:ext>
          </c:extLst>
        </c:ser>
        <c:ser>
          <c:idx val="4"/>
          <c:order val="4"/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PTA!$F$99:$P$99</c:f>
              <c:numCache>
                <c:formatCode>General</c:formatCode>
                <c:ptCount val="11"/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555-40A8-928C-2A2A1B2ABAA2}"/>
            </c:ext>
          </c:extLst>
        </c:ser>
        <c:ser>
          <c:idx val="5"/>
          <c:order val="5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6350" cap="flat" cmpd="sng" algn="ctr">
                <a:noFill/>
                <a:prstDash val="solid"/>
                <a:round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PTA!$F$74:$P$74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555-40A8-928C-2A2A1B2ABAA2}"/>
            </c:ext>
          </c:extLst>
        </c:ser>
        <c:ser>
          <c:idx val="6"/>
          <c:order val="6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PTA!$F$77:$P$77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555-40A8-928C-2A2A1B2ABAA2}"/>
            </c:ext>
          </c:extLst>
        </c:ser>
        <c:ser>
          <c:idx val="7"/>
          <c:order val="7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PTA!$F$89:$P$89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555-40A8-928C-2A2A1B2ABAA2}"/>
            </c:ext>
          </c:extLst>
        </c:ser>
        <c:ser>
          <c:idx val="9"/>
          <c:order val="8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prstClr val="black"/>
                  </a:solidFill>
                  <a:prstDash val="solid"/>
                  <a:round/>
                </a14:hiddenLine>
              </a:ext>
            </a:extLst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PTA!$F$100:$P$100</c:f>
              <c:numCache>
                <c:formatCode>General</c:formatCode>
                <c:ptCount val="11"/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555-40A8-928C-2A2A1B2ABAA2}"/>
            </c:ext>
          </c:extLst>
        </c:ser>
        <c:ser>
          <c:idx val="10"/>
          <c:order val="9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PTA!$F$91:$P$91</c:f>
              <c:numCache>
                <c:formatCode>General</c:formatCode>
                <c:ptCount val="11"/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555-40A8-928C-2A2A1B2ABAA2}"/>
            </c:ext>
          </c:extLst>
        </c:ser>
        <c:ser>
          <c:idx val="11"/>
          <c:order val="10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PTA!$F$94:$P$94</c:f>
              <c:numCache>
                <c:formatCode>General</c:formatCode>
                <c:ptCount val="11"/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555-40A8-928C-2A2A1B2ABAA2}"/>
            </c:ext>
          </c:extLst>
        </c:ser>
        <c:ser>
          <c:idx val="12"/>
          <c:order val="11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PTA!$F$109:$P$109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555-40A8-928C-2A2A1B2ABAA2}"/>
            </c:ext>
          </c:extLst>
        </c:ser>
        <c:ser>
          <c:idx val="13"/>
          <c:order val="12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PTA!$F$110:$P$110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555-40A8-928C-2A2A1B2ABAA2}"/>
            </c:ext>
          </c:extLst>
        </c:ser>
        <c:ser>
          <c:idx val="14"/>
          <c:order val="13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PTA!$F$112:$P$112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555-40A8-928C-2A2A1B2ABAA2}"/>
            </c:ext>
          </c:extLst>
        </c:ser>
        <c:ser>
          <c:idx val="15"/>
          <c:order val="14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PTA!$F$113:$P$113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555-40A8-928C-2A2A1B2ABAA2}"/>
            </c:ext>
          </c:extLst>
        </c:ser>
        <c:ser>
          <c:idx val="16"/>
          <c:order val="15"/>
          <c:spPr>
            <a:ln w="1905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PTA!$F$111:$P$111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555-40A8-928C-2A2A1B2ABAA2}"/>
            </c:ext>
          </c:extLst>
        </c:ser>
        <c:ser>
          <c:idx val="17"/>
          <c:order val="16"/>
          <c:spPr>
            <a:ln w="19050" cap="rnd" cmpd="sng" algn="ctr">
              <a:solidFill>
                <a:sysClr val="windowText" lastClr="000000"/>
              </a:solidFill>
              <a:prstDash val="solid"/>
              <a:round/>
            </a:ln>
            <a:effectLst/>
          </c:spPr>
          <c:marker>
            <c:spPr>
              <a:solidFill>
                <a:srgbClr val="70AD47">
                  <a:tint val="86000"/>
                </a:srgbClr>
              </a:solidFill>
              <a:ln w="6350" cap="flat" cmpd="sng" algn="ctr">
                <a:solidFill>
                  <a:srgbClr val="70AD47">
                    <a:tint val="86000"/>
                  </a:srgbClr>
                </a:solidFill>
                <a:prstDash val="solid"/>
                <a:round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PTA!$F$114:$P$114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555-40A8-928C-2A2A1B2ABAA2}"/>
            </c:ext>
          </c:extLst>
        </c:ser>
        <c:ser>
          <c:idx val="18"/>
          <c:order val="17"/>
          <c:tx>
            <c:strRef>
              <c:f>PTA!$B$76</c:f>
              <c:strCache>
                <c:ptCount val="1"/>
                <c:pt idx="0">
                  <c:v>Masked LAC note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1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PTA!$F$60:$P$60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PTA!$F$76:$P$76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555-40A8-928C-2A2A1B2ABAA2}"/>
            </c:ext>
          </c:extLst>
        </c:ser>
        <c:ser>
          <c:idx val="19"/>
          <c:order val="18"/>
          <c:tx>
            <c:strRef>
              <c:f>PTA!$B$93</c:f>
              <c:strCache>
                <c:ptCount val="1"/>
                <c:pt idx="0">
                  <c:v>Masked LBC note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1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PTA!$H$60:$O$60</c:f>
              <c:numCache>
                <c:formatCode>General</c:formatCode>
                <c:ptCount val="8"/>
                <c:pt idx="0">
                  <c:v>500</c:v>
                </c:pt>
                <c:pt idx="1">
                  <c:v>750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6000</c:v>
                </c:pt>
              </c:numCache>
            </c:numRef>
          </c:xVal>
          <c:yVal>
            <c:numRef>
              <c:f>PTA!$H$93:$O$93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555-40A8-928C-2A2A1B2ABAA2}"/>
            </c:ext>
          </c:extLst>
        </c:ser>
        <c:ser>
          <c:idx val="20"/>
          <c:order val="19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>
              <a:noFill/>
            </a:ln>
          </c:spPr>
          <c:marker>
            <c:symbol val="star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PTA!$F$62:$P$62</c:f>
              <c:numCache>
                <c:formatCode>General</c:formatCode>
                <c:ptCount val="11"/>
                <c:pt idx="0">
                  <c:v>130</c:v>
                </c:pt>
                <c:pt idx="1">
                  <c:v>260</c:v>
                </c:pt>
                <c:pt idx="2">
                  <c:v>530</c:v>
                </c:pt>
                <c:pt idx="3">
                  <c:v>800</c:v>
                </c:pt>
                <c:pt idx="4">
                  <c:v>1050</c:v>
                </c:pt>
                <c:pt idx="5">
                  <c:v>1570</c:v>
                </c:pt>
                <c:pt idx="6">
                  <c:v>2100</c:v>
                </c:pt>
                <c:pt idx="7">
                  <c:v>3200</c:v>
                </c:pt>
                <c:pt idx="8">
                  <c:v>4300</c:v>
                </c:pt>
                <c:pt idx="9">
                  <c:v>6300</c:v>
                </c:pt>
                <c:pt idx="10">
                  <c:v>8500</c:v>
                </c:pt>
              </c:numCache>
            </c:numRef>
          </c:xVal>
          <c:yVal>
            <c:numRef>
              <c:f>PTA!$F$73:$P$73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555-40A8-928C-2A2A1B2ABAA2}"/>
            </c:ext>
          </c:extLst>
        </c:ser>
        <c:ser>
          <c:idx val="21"/>
          <c:order val="20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>
              <a:noFill/>
            </a:ln>
          </c:spPr>
          <c:marker>
            <c:symbol val="star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PTA!$H$62:$N$62</c:f>
              <c:numCache>
                <c:formatCode>General</c:formatCode>
                <c:ptCount val="7"/>
                <c:pt idx="0">
                  <c:v>530</c:v>
                </c:pt>
                <c:pt idx="1">
                  <c:v>800</c:v>
                </c:pt>
                <c:pt idx="2">
                  <c:v>1050</c:v>
                </c:pt>
                <c:pt idx="3">
                  <c:v>1570</c:v>
                </c:pt>
                <c:pt idx="4">
                  <c:v>2100</c:v>
                </c:pt>
                <c:pt idx="5">
                  <c:v>3200</c:v>
                </c:pt>
                <c:pt idx="6">
                  <c:v>4300</c:v>
                </c:pt>
              </c:numCache>
            </c:numRef>
          </c:xVal>
          <c:yVal>
            <c:numRef>
              <c:f>PTA!$H$90:$O$90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555-40A8-928C-2A2A1B2AB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46784"/>
        <c:axId val="176249088"/>
        <c:extLst/>
      </c:scatterChart>
      <c:valAx>
        <c:axId val="176246784"/>
        <c:scaling>
          <c:logBase val="2"/>
          <c:orientation val="minMax"/>
          <c:max val="16000"/>
          <c:min val="125"/>
        </c:scaling>
        <c:delete val="0"/>
        <c:axPos val="t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8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800000"/>
                    </a:solidFill>
                  </a:rPr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6249088"/>
        <c:crossesAt val="-10"/>
        <c:crossBetween val="midCat"/>
        <c:majorUnit val="1"/>
        <c:minorUnit val="1"/>
      </c:valAx>
      <c:valAx>
        <c:axId val="176249088"/>
        <c:scaling>
          <c:orientation val="maxMin"/>
          <c:max val="12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8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800000"/>
                    </a:solidFill>
                  </a:rPr>
                  <a:t>Hearing level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6246784"/>
        <c:crosses val="autoZero"/>
        <c:crossBetween val="midCat"/>
        <c:majorUnit val="10"/>
        <c:minorUnit val="5"/>
      </c:valAx>
      <c:spPr>
        <a:noFill/>
        <a:ln>
          <a:solidFill>
            <a:schemeClr val="tx1"/>
          </a:solidFill>
        </a:ln>
      </c:spPr>
    </c:plotArea>
    <c:plotVisOnly val="0"/>
    <c:dispBlanksAs val="gap"/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000000000000722" l="0.70000000000000062" r="0.70000000000000062" t="0.75000000000000722" header="0.30000000000000032" footer="0.30000000000000032"/>
    <c:pageSetup orientation="portrait"/>
  </c:printSettings>
  <c:userShapes r:id="rId1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0"/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PTA!$F$84:$P$84</c:f>
              <c:numCache>
                <c:formatCode>General</c:formatCode>
                <c:ptCount val="11"/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27-4A39-A8D7-B86576222E7C}"/>
            </c:ext>
          </c:extLst>
        </c:ser>
        <c:ser>
          <c:idx val="0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PTA!$F$63:$P$63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27-4A39-A8D7-B86576222E7C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 dpi="0" rotWithShape="1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PTA!$F$81:$P$81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27-4A39-A8D7-B86576222E7C}"/>
            </c:ext>
          </c:extLst>
        </c:ser>
        <c:ser>
          <c:idx val="1"/>
          <c:order val="3"/>
          <c:tx>
            <c:v>Masked AC</c:v>
          </c:tx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PTA!$F$66:$P$66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327-4A39-A8D7-B86576222E7C}"/>
            </c:ext>
          </c:extLst>
        </c:ser>
        <c:ser>
          <c:idx val="4"/>
          <c:order val="4"/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PTA!$F$97:$P$97</c:f>
              <c:numCache>
                <c:formatCode>General</c:formatCode>
                <c:ptCount val="11"/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327-4A39-A8D7-B86576222E7C}"/>
            </c:ext>
          </c:extLst>
        </c:ser>
        <c:ser>
          <c:idx val="5"/>
          <c:order val="5"/>
          <c:spPr>
            <a:ln w="19050" cap="rnd" cmpd="sng" algn="ctr">
              <a:solidFill>
                <a:prstClr val="black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PTA!$F$70:$P$70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327-4A39-A8D7-B86576222E7C}"/>
            </c:ext>
          </c:extLst>
        </c:ser>
        <c:ser>
          <c:idx val="6"/>
          <c:order val="6"/>
          <c:tx>
            <c:v>Unmasked NR</c:v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PTA!$F$65:$P$65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327-4A39-A8D7-B86576222E7C}"/>
            </c:ext>
          </c:extLst>
        </c:ser>
        <c:ser>
          <c:idx val="7"/>
          <c:order val="7"/>
          <c:tx>
            <c:v>Masked R NR</c:v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PTA!$F$68:$P$68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327-4A39-A8D7-B86576222E7C}"/>
            </c:ext>
          </c:extLst>
        </c:ser>
        <c:ser>
          <c:idx val="8"/>
          <c:order val="8"/>
          <c:tx>
            <c:v>Unmasked BC NR</c:v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PTA!$C$31:$J$31</c:f>
              <c:numCache>
                <c:formatCode>General</c:formatCode>
                <c:ptCount val="8"/>
                <c:pt idx="0">
                  <c:v>500</c:v>
                </c:pt>
                <c:pt idx="1">
                  <c:v>750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6000</c:v>
                </c:pt>
              </c:numCache>
            </c:numRef>
          </c:xVal>
          <c:yVal>
            <c:numRef>
              <c:f>PTA!$H$83:$O$83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327-4A39-A8D7-B86576222E7C}"/>
            </c:ext>
          </c:extLst>
        </c:ser>
        <c:ser>
          <c:idx val="9"/>
          <c:order val="9"/>
          <c:tx>
            <c:v>BC Masked NR</c:v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PTA!$C$31:$J$31</c:f>
              <c:numCache>
                <c:formatCode>General</c:formatCode>
                <c:ptCount val="8"/>
                <c:pt idx="0">
                  <c:v>500</c:v>
                </c:pt>
                <c:pt idx="1">
                  <c:v>750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6000</c:v>
                </c:pt>
              </c:numCache>
            </c:numRef>
          </c:xVal>
          <c:yVal>
            <c:numRef>
              <c:f>PTA!$H$86:$O$86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327-4A39-A8D7-B86576222E7C}"/>
            </c:ext>
          </c:extLst>
        </c:ser>
        <c:ser>
          <c:idx val="10"/>
          <c:order val="10"/>
          <c:tx>
            <c:v>ULL NR</c:v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PTA!$F$98:$P$98</c:f>
              <c:numCache>
                <c:formatCode>General</c:formatCode>
                <c:ptCount val="11"/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327-4A39-A8D7-B86576222E7C}"/>
            </c:ext>
          </c:extLst>
        </c:ser>
        <c:ser>
          <c:idx val="11"/>
          <c:order val="11"/>
          <c:tx>
            <c:v>SF Aided</c:v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PTA!$F$102:$P$102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327-4A39-A8D7-B86576222E7C}"/>
            </c:ext>
          </c:extLst>
        </c:ser>
        <c:ser>
          <c:idx val="12"/>
          <c:order val="12"/>
          <c:tx>
            <c:v>Aided NR</c:v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PTA!$F$103:$P$103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327-4A39-A8D7-B86576222E7C}"/>
            </c:ext>
          </c:extLst>
        </c:ser>
        <c:ser>
          <c:idx val="13"/>
          <c:order val="13"/>
          <c:tx>
            <c:v>SF thresholds</c:v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PTA!$F$105:$P$105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327-4A39-A8D7-B86576222E7C}"/>
            </c:ext>
          </c:extLst>
        </c:ser>
        <c:ser>
          <c:idx val="14"/>
          <c:order val="14"/>
          <c:tx>
            <c:v>SF NR</c:v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PTA!$F$106:$P$106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327-4A39-A8D7-B86576222E7C}"/>
            </c:ext>
          </c:extLst>
        </c:ser>
        <c:ser>
          <c:idx val="15"/>
          <c:order val="15"/>
          <c:tx>
            <c:v>Aided Line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none"/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PTA!$F$104:$P$104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327-4A39-A8D7-B86576222E7C}"/>
            </c:ext>
          </c:extLst>
        </c:ser>
        <c:ser>
          <c:idx val="16"/>
          <c:order val="16"/>
          <c:tx>
            <c:v>Unaided Line</c:v>
          </c:tx>
          <c:spPr>
            <a:ln w="19050" cap="rnd" cmpd="sng" algn="ctr">
              <a:solidFill>
                <a:prstClr val="black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PTA!$F$107:$P$107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327-4A39-A8D7-B86576222E7C}"/>
            </c:ext>
          </c:extLst>
        </c:ser>
        <c:ser>
          <c:idx val="17"/>
          <c:order val="17"/>
          <c:tx>
            <c:strRef>
              <c:f>PTA!$B$67</c:f>
              <c:strCache>
                <c:ptCount val="1"/>
                <c:pt idx="0">
                  <c:v>Masked RAC note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PTA!$F$60:$P$60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PTA!$F$67:$P$67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327-4A39-A8D7-B86576222E7C}"/>
            </c:ext>
          </c:extLst>
        </c:ser>
        <c:ser>
          <c:idx val="18"/>
          <c:order val="18"/>
          <c:tx>
            <c:strRef>
              <c:f>PTA!$B$85</c:f>
              <c:strCache>
                <c:ptCount val="1"/>
                <c:pt idx="0">
                  <c:v>Masked RBC note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PTA!$H$60:$O$60</c:f>
              <c:numCache>
                <c:formatCode>General</c:formatCode>
                <c:ptCount val="8"/>
                <c:pt idx="0">
                  <c:v>500</c:v>
                </c:pt>
                <c:pt idx="1">
                  <c:v>750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6000</c:v>
                </c:pt>
              </c:numCache>
            </c:numRef>
          </c:xVal>
          <c:yVal>
            <c:numRef>
              <c:f>PTA!$H$85:$O$85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327-4A39-A8D7-B86576222E7C}"/>
            </c:ext>
          </c:extLst>
        </c:ser>
        <c:ser>
          <c:idx val="19"/>
          <c:order val="19"/>
          <c:tx>
            <c:v>RAC unmasked note</c:v>
          </c:tx>
          <c:spPr>
            <a:ln w="19050">
              <a:noFill/>
            </a:ln>
          </c:spPr>
          <c:marker>
            <c:symbol val="star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PTA!$F$61:$P$61</c:f>
              <c:numCache>
                <c:formatCode>General</c:formatCode>
                <c:ptCount val="11"/>
                <c:pt idx="0">
                  <c:v>120</c:v>
                </c:pt>
                <c:pt idx="1">
                  <c:v>240</c:v>
                </c:pt>
                <c:pt idx="2">
                  <c:v>470</c:v>
                </c:pt>
                <c:pt idx="3">
                  <c:v>700</c:v>
                </c:pt>
                <c:pt idx="4">
                  <c:v>950</c:v>
                </c:pt>
                <c:pt idx="5">
                  <c:v>1430</c:v>
                </c:pt>
                <c:pt idx="6">
                  <c:v>1900</c:v>
                </c:pt>
                <c:pt idx="7">
                  <c:v>2800</c:v>
                </c:pt>
                <c:pt idx="8">
                  <c:v>3700</c:v>
                </c:pt>
                <c:pt idx="9">
                  <c:v>5700</c:v>
                </c:pt>
                <c:pt idx="10">
                  <c:v>7500</c:v>
                </c:pt>
              </c:numCache>
            </c:numRef>
          </c:xVal>
          <c:yVal>
            <c:numRef>
              <c:f>PTA!$F$64:$P$64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327-4A39-A8D7-B86576222E7C}"/>
            </c:ext>
          </c:extLst>
        </c:ser>
        <c:ser>
          <c:idx val="20"/>
          <c:order val="20"/>
          <c:tx>
            <c:v>RBC unmasked note</c:v>
          </c:tx>
          <c:spPr>
            <a:ln w="19050">
              <a:noFill/>
            </a:ln>
          </c:spPr>
          <c:marker>
            <c:symbol val="star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PTA!$H$61:$N$61</c:f>
              <c:numCache>
                <c:formatCode>General</c:formatCode>
                <c:ptCount val="7"/>
                <c:pt idx="0">
                  <c:v>470</c:v>
                </c:pt>
                <c:pt idx="1">
                  <c:v>700</c:v>
                </c:pt>
                <c:pt idx="2">
                  <c:v>950</c:v>
                </c:pt>
                <c:pt idx="3">
                  <c:v>1430</c:v>
                </c:pt>
                <c:pt idx="4">
                  <c:v>1900</c:v>
                </c:pt>
                <c:pt idx="5">
                  <c:v>2800</c:v>
                </c:pt>
                <c:pt idx="6">
                  <c:v>3700</c:v>
                </c:pt>
              </c:numCache>
            </c:numRef>
          </c:xVal>
          <c:yVal>
            <c:numRef>
              <c:f>PTA!$H$82:$O$82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327-4A39-A8D7-B86576222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634496"/>
        <c:axId val="176644864"/>
      </c:scatterChart>
      <c:valAx>
        <c:axId val="176634496"/>
        <c:scaling>
          <c:logBase val="2"/>
          <c:orientation val="minMax"/>
          <c:max val="16000"/>
          <c:min val="125"/>
        </c:scaling>
        <c:delete val="0"/>
        <c:axPos val="t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8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800000"/>
                    </a:solidFill>
                  </a:rPr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6644864"/>
        <c:crossesAt val="-10"/>
        <c:crossBetween val="midCat"/>
        <c:majorUnit val="1"/>
        <c:minorUnit val="1"/>
      </c:valAx>
      <c:valAx>
        <c:axId val="176644864"/>
        <c:scaling>
          <c:orientation val="maxMin"/>
          <c:max val="12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8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800000"/>
                    </a:solidFill>
                  </a:rPr>
                  <a:t>Hearing level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6634496"/>
        <c:crosses val="autoZero"/>
        <c:crossBetween val="midCat"/>
        <c:majorUnit val="10"/>
        <c:minorUnit val="5"/>
      </c:valAx>
      <c:spPr>
        <a:noFill/>
        <a:ln>
          <a:solidFill>
            <a:schemeClr val="tx1"/>
          </a:solidFill>
        </a:ln>
      </c:spPr>
    </c:plotArea>
    <c:plotVisOnly val="0"/>
    <c:dispBlanksAs val="gap"/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000000000000722" l="0.70000000000000062" r="0.70000000000000062" t="0.75000000000000722" header="0.30000000000000032" footer="0.30000000000000032"/>
    <c:pageSetup orientation="portrait"/>
  </c:printSettings>
  <c:userShapes r:id="rId1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8275146308065"/>
          <c:y val="0.16080252168774511"/>
          <c:w val="0.82059496145341704"/>
          <c:h val="0.62927641698275993"/>
        </c:manualLayout>
      </c:layout>
      <c:scatterChart>
        <c:scatterStyle val="lineMarker"/>
        <c:varyColors val="0"/>
        <c:ser>
          <c:idx val="0"/>
          <c:order val="0"/>
          <c:tx>
            <c:v>RIght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noFill/>
              <a:ln w="22225">
                <a:solidFill>
                  <a:srgbClr val="FF0000"/>
                </a:solidFill>
              </a:ln>
              <a:effectLst/>
            </c:spPr>
          </c:marker>
          <c:xVal>
            <c:numRef>
              <c:f>PTA!$F$48:$F$50</c:f>
              <c:numCache>
                <c:formatCode>General</c:formatCode>
                <c:ptCount val="3"/>
              </c:numCache>
            </c:numRef>
          </c:xVal>
          <c:yVal>
            <c:numRef>
              <c:f>PTA!$D$48:$D$50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CF-49BC-9DD8-40B6FA52C93D}"/>
            </c:ext>
          </c:extLst>
        </c:ser>
        <c:ser>
          <c:idx val="1"/>
          <c:order val="1"/>
          <c:tx>
            <c:v>Left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22225">
                <a:solidFill>
                  <a:srgbClr val="0070C0"/>
                </a:solidFill>
              </a:ln>
              <a:effectLst/>
            </c:spPr>
          </c:marker>
          <c:xVal>
            <c:numRef>
              <c:f>PTA!$J$48:$J$50</c:f>
              <c:numCache>
                <c:formatCode>General</c:formatCode>
                <c:ptCount val="3"/>
              </c:numCache>
            </c:numRef>
          </c:xVal>
          <c:yVal>
            <c:numRef>
              <c:f>PTA!$H$48:$H$50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CF-49BC-9DD8-40B6FA52C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51584"/>
        <c:axId val="176853760"/>
      </c:scatterChart>
      <c:valAx>
        <c:axId val="176851584"/>
        <c:scaling>
          <c:orientation val="minMax"/>
          <c:max val="11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853760"/>
        <c:crossesAt val="0"/>
        <c:crossBetween val="midCat"/>
        <c:majorUnit val="10"/>
      </c:valAx>
      <c:valAx>
        <c:axId val="17685376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851584"/>
        <c:crossesAt val="-10"/>
        <c:crossBetween val="midCat"/>
        <c:majorUnit val="20"/>
        <c:minorUnit val="10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722" l="0.70000000000000062" r="0.70000000000000062" t="0.75000000000000722" header="0.30000000000000032" footer="0.30000000000000032"/>
    <c:pageSetup orientation="portrait"/>
  </c:printSettings>
  <c:userShapes r:id="rId4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I54" lockText="1" noThreeD="1"/>
</file>

<file path=xl/ctrlProps/ctrlProp4.xml><?xml version="1.0" encoding="utf-8"?>
<formControlPr xmlns="http://schemas.microsoft.com/office/spreadsheetml/2009/9/main" objectType="CheckBox" fmlaLink="J54" lockText="1" noThreeD="1"/>
</file>

<file path=xl/ctrlProps/ctrlProp5.xml><?xml version="1.0" encoding="utf-8"?>
<formControlPr xmlns="http://schemas.microsoft.com/office/spreadsheetml/2009/9/main" objectType="CheckBox" fmlaLink="K54" lockText="1" noThreeD="1"/>
</file>

<file path=xl/ctrlProps/ctrlProp6.xml><?xml version="1.0" encoding="utf-8"?>
<formControlPr xmlns="http://schemas.microsoft.com/office/spreadsheetml/2009/9/main" objectType="CheckBox" fmlaLink="L54" lockText="1" noThreeD="1"/>
</file>

<file path=xl/ctrlProps/ctrlProp7.xml><?xml version="1.0" encoding="utf-8"?>
<formControlPr xmlns="http://schemas.microsoft.com/office/spreadsheetml/2009/9/main" objectType="CheckBox" fmlaLink="M54" lockText="1" noThreeD="1"/>
</file>

<file path=xl/ctrlProps/ctrlProp8.xml><?xml version="1.0" encoding="utf-8"?>
<formControlPr xmlns="http://schemas.microsoft.com/office/spreadsheetml/2009/9/main" objectType="CheckBox" fmlaLink="N54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chart" Target="../charts/chart3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12" Type="http://schemas.openxmlformats.org/officeDocument/2006/relationships/image" Target="../media/image24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23.png"/><Relationship Id="rId5" Type="http://schemas.openxmlformats.org/officeDocument/2006/relationships/image" Target="../media/image5.png"/><Relationship Id="rId10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1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298450</xdr:colOff>
          <xdr:row>0</xdr:row>
          <xdr:rowOff>88900</xdr:rowOff>
        </xdr:from>
        <xdr:to>
          <xdr:col>7</xdr:col>
          <xdr:colOff>266700</xdr:colOff>
          <xdr:row>0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new Sheet for comparison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0</xdr:row>
          <xdr:rowOff>57150</xdr:rowOff>
        </xdr:from>
        <xdr:to>
          <xdr:col>3</xdr:col>
          <xdr:colOff>0</xdr:colOff>
          <xdr:row>0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to PTA sheet for editing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41012</xdr:colOff>
      <xdr:row>19</xdr:row>
      <xdr:rowOff>3967</xdr:rowOff>
    </xdr:from>
    <xdr:to>
      <xdr:col>12</xdr:col>
      <xdr:colOff>376923</xdr:colOff>
      <xdr:row>21</xdr:row>
      <xdr:rowOff>44301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55862" y="3175792"/>
          <a:ext cx="335911" cy="364184"/>
        </a:xfrm>
        <a:prstGeom prst="rect">
          <a:avLst/>
        </a:prstGeom>
      </xdr:spPr>
    </xdr:pic>
    <xdr:clientData/>
  </xdr:twoCellAnchor>
  <xdr:twoCellAnchor editAs="oneCell">
    <xdr:from>
      <xdr:col>12</xdr:col>
      <xdr:colOff>271011</xdr:colOff>
      <xdr:row>19</xdr:row>
      <xdr:rowOff>3968</xdr:rowOff>
    </xdr:from>
    <xdr:to>
      <xdr:col>13</xdr:col>
      <xdr:colOff>4430</xdr:colOff>
      <xdr:row>21</xdr:row>
      <xdr:rowOff>44302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861" y="3175793"/>
          <a:ext cx="419219" cy="364184"/>
        </a:xfrm>
        <a:prstGeom prst="rect">
          <a:avLst/>
        </a:prstGeom>
      </xdr:spPr>
    </xdr:pic>
    <xdr:clientData/>
  </xdr:twoCellAnchor>
  <xdr:twoCellAnchor>
    <xdr:from>
      <xdr:col>4</xdr:col>
      <xdr:colOff>279400</xdr:colOff>
      <xdr:row>83</xdr:row>
      <xdr:rowOff>91440</xdr:rowOff>
    </xdr:from>
    <xdr:to>
      <xdr:col>5</xdr:col>
      <xdr:colOff>111760</xdr:colOff>
      <xdr:row>86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784350" y="9239250"/>
          <a:ext cx="208598" cy="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126082</xdr:colOff>
      <xdr:row>8</xdr:row>
      <xdr:rowOff>27769</xdr:rowOff>
    </xdr:from>
    <xdr:to>
      <xdr:col>13</xdr:col>
      <xdr:colOff>232762</xdr:colOff>
      <xdr:row>8</xdr:row>
      <xdr:rowOff>134449</xdr:rowOff>
    </xdr:to>
    <xdr:grpSp>
      <xdr:nvGrpSpPr>
        <xdr:cNvPr id="5" name="Group 1027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>
          <a:grpSpLocks noChangeAspect="1"/>
        </xdr:cNvGrpSpPr>
      </xdr:nvGrpSpPr>
      <xdr:grpSpPr bwMode="auto">
        <a:xfrm>
          <a:off x="5182270" y="1393019"/>
          <a:ext cx="106680" cy="106680"/>
          <a:chOff x="755" y="77"/>
          <a:chExt cx="16" cy="16"/>
        </a:xfrm>
      </xdr:grpSpPr>
      <xdr:sp macro="" textlink="">
        <xdr:nvSpPr>
          <xdr:cNvPr id="6" name="Line 1028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755" y="77"/>
            <a:ext cx="16" cy="16"/>
          </a:xfrm>
          <a:prstGeom prst="line">
            <a:avLst/>
          </a:prstGeom>
          <a:noFill/>
          <a:ln w="19050">
            <a:solidFill>
              <a:srgbClr val="0000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1029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 noChangeAspect="1" noChangeShapeType="1"/>
          </xdr:cNvSpPr>
        </xdr:nvSpPr>
        <xdr:spPr bwMode="auto">
          <a:xfrm flipH="1">
            <a:off x="755" y="77"/>
            <a:ext cx="16" cy="16"/>
          </a:xfrm>
          <a:prstGeom prst="line">
            <a:avLst/>
          </a:prstGeom>
          <a:noFill/>
          <a:ln w="19050">
            <a:solidFill>
              <a:srgbClr val="0000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11</xdr:col>
      <xdr:colOff>144989</xdr:colOff>
      <xdr:row>8</xdr:row>
      <xdr:rowOff>34291</xdr:rowOff>
    </xdr:from>
    <xdr:to>
      <xdr:col>11</xdr:col>
      <xdr:colOff>242144</xdr:colOff>
      <xdr:row>8</xdr:row>
      <xdr:rowOff>143511</xdr:rowOff>
    </xdr:to>
    <xdr:sp macro="" textlink="">
      <xdr:nvSpPr>
        <xdr:cNvPr id="8" name="Oval 1030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4283602" y="1377316"/>
          <a:ext cx="97155" cy="109220"/>
        </a:xfrm>
        <a:prstGeom prst="ellipse">
          <a:avLst/>
        </a:prstGeom>
        <a:solidFill>
          <a:srgbClr val="FFFFFF"/>
        </a:solidFill>
        <a:ln w="19050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11</xdr:col>
      <xdr:colOff>144989</xdr:colOff>
      <xdr:row>9</xdr:row>
      <xdr:rowOff>52243</xdr:rowOff>
    </xdr:from>
    <xdr:to>
      <xdr:col>11</xdr:col>
      <xdr:colOff>242144</xdr:colOff>
      <xdr:row>9</xdr:row>
      <xdr:rowOff>158923</xdr:rowOff>
    </xdr:to>
    <xdr:sp macro="" textlink="">
      <xdr:nvSpPr>
        <xdr:cNvPr id="9" name="Oval 103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4283602" y="1561956"/>
          <a:ext cx="97155" cy="106680"/>
        </a:xfrm>
        <a:prstGeom prst="ellipse">
          <a:avLst/>
        </a:prstGeom>
        <a:solidFill>
          <a:srgbClr val="FF0000"/>
        </a:solidFill>
        <a:ln w="19050">
          <a:noFill/>
          <a:round/>
          <a:headEnd/>
          <a:tailEnd/>
        </a:ln>
      </xdr:spPr>
    </xdr:sp>
    <xdr:clientData/>
  </xdr:twoCellAnchor>
  <xdr:twoCellAnchor>
    <xdr:from>
      <xdr:col>13</xdr:col>
      <xdr:colOff>132518</xdr:colOff>
      <xdr:row>9</xdr:row>
      <xdr:rowOff>45721</xdr:rowOff>
    </xdr:from>
    <xdr:to>
      <xdr:col>13</xdr:col>
      <xdr:colOff>239198</xdr:colOff>
      <xdr:row>9</xdr:row>
      <xdr:rowOff>152401</xdr:rowOff>
    </xdr:to>
    <xdr:grpSp>
      <xdr:nvGrpSpPr>
        <xdr:cNvPr id="10" name="Group 103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>
          <a:grpSpLocks noChangeAspect="1"/>
        </xdr:cNvGrpSpPr>
      </xdr:nvGrpSpPr>
      <xdr:grpSpPr bwMode="auto">
        <a:xfrm>
          <a:off x="5188706" y="1585596"/>
          <a:ext cx="106680" cy="106680"/>
          <a:chOff x="902" y="18"/>
          <a:chExt cx="15" cy="16"/>
        </a:xfrm>
        <a:solidFill>
          <a:srgbClr val="0000FF"/>
        </a:solidFill>
      </xdr:grpSpPr>
      <xdr:sp macro="" textlink="">
        <xdr:nvSpPr>
          <xdr:cNvPr id="11" name="AutoShape 1033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902" y="26"/>
            <a:ext cx="15" cy="8"/>
          </a:xfrm>
          <a:prstGeom prst="triangle">
            <a:avLst>
              <a:gd name="adj" fmla="val 50000"/>
            </a:avLst>
          </a:prstGeom>
          <a:grpFill/>
          <a:ln w="9525">
            <a:noFill/>
            <a:miter lim="800000"/>
            <a:headEnd/>
            <a:tailEnd/>
          </a:ln>
        </xdr:spPr>
      </xdr:sp>
      <xdr:sp macro="" textlink="">
        <xdr:nvSpPr>
          <xdr:cNvPr id="12" name="AutoShape 1034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>
            <a:spLocks noChangeAspect="1" noChangeArrowheads="1"/>
          </xdr:cNvSpPr>
        </xdr:nvSpPr>
        <xdr:spPr bwMode="auto">
          <a:xfrm flipV="1">
            <a:off x="902" y="18"/>
            <a:ext cx="15" cy="8"/>
          </a:xfrm>
          <a:prstGeom prst="triangle">
            <a:avLst>
              <a:gd name="adj" fmla="val 50000"/>
            </a:avLst>
          </a:prstGeom>
          <a:grpFill/>
          <a:ln w="9525">
            <a:noFill/>
            <a:miter lim="800000"/>
            <a:headEnd/>
            <a:tailEnd/>
          </a:ln>
        </xdr:spPr>
      </xdr:sp>
    </xdr:grpSp>
    <xdr:clientData/>
  </xdr:twoCellAnchor>
  <xdr:twoCellAnchor editAs="oneCell">
    <xdr:from>
      <xdr:col>13</xdr:col>
      <xdr:colOff>64378</xdr:colOff>
      <xdr:row>12</xdr:row>
      <xdr:rowOff>25744</xdr:rowOff>
    </xdr:from>
    <xdr:to>
      <xdr:col>13</xdr:col>
      <xdr:colOff>224412</xdr:colOff>
      <xdr:row>12</xdr:row>
      <xdr:rowOff>140054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028" y="2040282"/>
          <a:ext cx="160034" cy="114310"/>
        </a:xfrm>
        <a:prstGeom prst="rect">
          <a:avLst/>
        </a:prstGeom>
      </xdr:spPr>
    </xdr:pic>
    <xdr:clientData/>
  </xdr:twoCellAnchor>
  <xdr:twoCellAnchor editAs="oneCell">
    <xdr:from>
      <xdr:col>11</xdr:col>
      <xdr:colOff>171096</xdr:colOff>
      <xdr:row>12</xdr:row>
      <xdr:rowOff>32181</xdr:rowOff>
    </xdr:from>
    <xdr:to>
      <xdr:col>11</xdr:col>
      <xdr:colOff>331130</xdr:colOff>
      <xdr:row>12</xdr:row>
      <xdr:rowOff>146491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9709" y="2046719"/>
          <a:ext cx="160034" cy="114310"/>
        </a:xfrm>
        <a:prstGeom prst="rect">
          <a:avLst/>
        </a:prstGeom>
      </xdr:spPr>
    </xdr:pic>
    <xdr:clientData/>
  </xdr:twoCellAnchor>
  <xdr:twoCellAnchor editAs="oneCell">
    <xdr:from>
      <xdr:col>13</xdr:col>
      <xdr:colOff>70813</xdr:colOff>
      <xdr:row>17</xdr:row>
      <xdr:rowOff>31013</xdr:rowOff>
    </xdr:from>
    <xdr:to>
      <xdr:col>13</xdr:col>
      <xdr:colOff>230847</xdr:colOff>
      <xdr:row>17</xdr:row>
      <xdr:rowOff>145323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1463" y="2878988"/>
          <a:ext cx="160034" cy="114310"/>
        </a:xfrm>
        <a:prstGeom prst="rect">
          <a:avLst/>
        </a:prstGeom>
      </xdr:spPr>
    </xdr:pic>
    <xdr:clientData/>
  </xdr:twoCellAnchor>
  <xdr:twoCellAnchor editAs="oneCell">
    <xdr:from>
      <xdr:col>11</xdr:col>
      <xdr:colOff>179003</xdr:colOff>
      <xdr:row>17</xdr:row>
      <xdr:rowOff>24578</xdr:rowOff>
    </xdr:from>
    <xdr:to>
      <xdr:col>11</xdr:col>
      <xdr:colOff>339037</xdr:colOff>
      <xdr:row>17</xdr:row>
      <xdr:rowOff>138888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7616" y="2872553"/>
          <a:ext cx="160034" cy="114310"/>
        </a:xfrm>
        <a:prstGeom prst="rect">
          <a:avLst/>
        </a:prstGeom>
      </xdr:spPr>
    </xdr:pic>
    <xdr:clientData/>
  </xdr:twoCellAnchor>
  <xdr:twoCellAnchor>
    <xdr:from>
      <xdr:col>14</xdr:col>
      <xdr:colOff>6436</xdr:colOff>
      <xdr:row>7</xdr:row>
      <xdr:rowOff>5291</xdr:rowOff>
    </xdr:from>
    <xdr:to>
      <xdr:col>24</xdr:col>
      <xdr:colOff>357187</xdr:colOff>
      <xdr:row>25</xdr:row>
      <xdr:rowOff>158748</xdr:rowOff>
    </xdr:to>
    <xdr:graphicFrame macro="">
      <xdr:nvGraphicFramePr>
        <xdr:cNvPr id="17" name="Chart 28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14017</xdr:colOff>
      <xdr:row>6</xdr:row>
      <xdr:rowOff>166686</xdr:rowOff>
    </xdr:from>
    <xdr:to>
      <xdr:col>10</xdr:col>
      <xdr:colOff>369094</xdr:colOff>
      <xdr:row>25</xdr:row>
      <xdr:rowOff>158749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13</xdr:col>
      <xdr:colOff>88446</xdr:colOff>
      <xdr:row>10</xdr:row>
      <xdr:rowOff>158750</xdr:rowOff>
    </xdr:from>
    <xdr:to>
      <xdr:col>13</xdr:col>
      <xdr:colOff>259897</xdr:colOff>
      <xdr:row>12</xdr:row>
      <xdr:rowOff>2119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096" y="1849438"/>
          <a:ext cx="171451" cy="167218"/>
        </a:xfrm>
        <a:prstGeom prst="rect">
          <a:avLst/>
        </a:prstGeom>
      </xdr:spPr>
    </xdr:pic>
    <xdr:clientData/>
  </xdr:twoCellAnchor>
  <xdr:twoCellAnchor editAs="oneCell">
    <xdr:from>
      <xdr:col>11</xdr:col>
      <xdr:colOff>134561</xdr:colOff>
      <xdr:row>11</xdr:row>
      <xdr:rowOff>5292</xdr:rowOff>
    </xdr:from>
    <xdr:to>
      <xdr:col>11</xdr:col>
      <xdr:colOff>306012</xdr:colOff>
      <xdr:row>12</xdr:row>
      <xdr:rowOff>12701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3174" y="1857905"/>
          <a:ext cx="171451" cy="169335"/>
        </a:xfrm>
        <a:prstGeom prst="rect">
          <a:avLst/>
        </a:prstGeom>
      </xdr:spPr>
    </xdr:pic>
    <xdr:clientData/>
  </xdr:twoCellAnchor>
  <xdr:twoCellAnchor editAs="oneCell">
    <xdr:from>
      <xdr:col>11</xdr:col>
      <xdr:colOff>108102</xdr:colOff>
      <xdr:row>13</xdr:row>
      <xdr:rowOff>158750</xdr:rowOff>
    </xdr:from>
    <xdr:to>
      <xdr:col>11</xdr:col>
      <xdr:colOff>290988</xdr:colOff>
      <xdr:row>15</xdr:row>
      <xdr:rowOff>13551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6715" y="2335213"/>
          <a:ext cx="182886" cy="178652"/>
        </a:xfrm>
        <a:prstGeom prst="rect">
          <a:avLst/>
        </a:prstGeom>
      </xdr:spPr>
    </xdr:pic>
    <xdr:clientData/>
  </xdr:twoCellAnchor>
  <xdr:twoCellAnchor editAs="oneCell">
    <xdr:from>
      <xdr:col>13</xdr:col>
      <xdr:colOff>92680</xdr:colOff>
      <xdr:row>13</xdr:row>
      <xdr:rowOff>157692</xdr:rowOff>
    </xdr:from>
    <xdr:to>
      <xdr:col>13</xdr:col>
      <xdr:colOff>275566</xdr:colOff>
      <xdr:row>15</xdr:row>
      <xdr:rowOff>12493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3330" y="2334155"/>
          <a:ext cx="182886" cy="178652"/>
        </a:xfrm>
        <a:prstGeom prst="rect">
          <a:avLst/>
        </a:prstGeom>
      </xdr:spPr>
    </xdr:pic>
    <xdr:clientData/>
  </xdr:twoCellAnchor>
  <xdr:twoCellAnchor editAs="oneCell">
    <xdr:from>
      <xdr:col>11</xdr:col>
      <xdr:colOff>113393</xdr:colOff>
      <xdr:row>14</xdr:row>
      <xdr:rowOff>158749</xdr:rowOff>
    </xdr:from>
    <xdr:to>
      <xdr:col>11</xdr:col>
      <xdr:colOff>296279</xdr:colOff>
      <xdr:row>15</xdr:row>
      <xdr:rowOff>174287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2006" y="2497137"/>
          <a:ext cx="182886" cy="177462"/>
        </a:xfrm>
        <a:prstGeom prst="rect">
          <a:avLst/>
        </a:prstGeom>
      </xdr:spPr>
    </xdr:pic>
    <xdr:clientData/>
  </xdr:twoCellAnchor>
  <xdr:twoCellAnchor editAs="oneCell">
    <xdr:from>
      <xdr:col>13</xdr:col>
      <xdr:colOff>97971</xdr:colOff>
      <xdr:row>14</xdr:row>
      <xdr:rowOff>152399</xdr:rowOff>
    </xdr:from>
    <xdr:to>
      <xdr:col>13</xdr:col>
      <xdr:colOff>280857</xdr:colOff>
      <xdr:row>15</xdr:row>
      <xdr:rowOff>167937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8621" y="2490787"/>
          <a:ext cx="182886" cy="1774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2</xdr:row>
          <xdr:rowOff>165100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3</xdr:row>
          <xdr:rowOff>184150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107950</xdr:colOff>
          <xdr:row>2</xdr:row>
          <xdr:rowOff>165100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107950</xdr:colOff>
          <xdr:row>3</xdr:row>
          <xdr:rowOff>184150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107950</xdr:colOff>
          <xdr:row>2</xdr:row>
          <xdr:rowOff>165100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107950</xdr:colOff>
          <xdr:row>3</xdr:row>
          <xdr:rowOff>184150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11</xdr:row>
          <xdr:rowOff>165100</xdr:rowOff>
        </xdr:from>
        <xdr:to>
          <xdr:col>29</xdr:col>
          <xdr:colOff>0</xdr:colOff>
          <xdr:row>15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 to 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0</xdr:rowOff>
        </xdr:from>
        <xdr:to>
          <xdr:col>29</xdr:col>
          <xdr:colOff>0</xdr:colOff>
          <xdr:row>19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9</xdr:row>
          <xdr:rowOff>0</xdr:rowOff>
        </xdr:from>
        <xdr:to>
          <xdr:col>29</xdr:col>
          <xdr:colOff>0</xdr:colOff>
          <xdr:row>10</xdr:row>
          <xdr:rowOff>146050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0</xdr:colOff>
          <xdr:row>10</xdr:row>
          <xdr:rowOff>0</xdr:rowOff>
        </xdr:from>
        <xdr:to>
          <xdr:col>32</xdr:col>
          <xdr:colOff>0</xdr:colOff>
          <xdr:row>12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Right 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0</xdr:colOff>
          <xdr:row>10</xdr:row>
          <xdr:rowOff>0</xdr:rowOff>
        </xdr:from>
        <xdr:to>
          <xdr:col>33</xdr:col>
          <xdr:colOff>273050</xdr:colOff>
          <xdr:row>12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Left 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0</xdr:colOff>
          <xdr:row>14</xdr:row>
          <xdr:rowOff>0</xdr:rowOff>
        </xdr:from>
        <xdr:to>
          <xdr:col>32</xdr:col>
          <xdr:colOff>0</xdr:colOff>
          <xdr:row>15</xdr:row>
          <xdr:rowOff>165100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Right - 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0</xdr:colOff>
          <xdr:row>12</xdr:row>
          <xdr:rowOff>0</xdr:rowOff>
        </xdr:from>
        <xdr:to>
          <xdr:col>32</xdr:col>
          <xdr:colOff>0</xdr:colOff>
          <xdr:row>14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Right Aided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0</xdr:colOff>
          <xdr:row>12</xdr:row>
          <xdr:rowOff>0</xdr:rowOff>
        </xdr:from>
        <xdr:to>
          <xdr:col>33</xdr:col>
          <xdr:colOff>273050</xdr:colOff>
          <xdr:row>14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Left Aided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0</xdr:colOff>
          <xdr:row>14</xdr:row>
          <xdr:rowOff>0</xdr:rowOff>
        </xdr:from>
        <xdr:to>
          <xdr:col>33</xdr:col>
          <xdr:colOff>273050</xdr:colOff>
          <xdr:row>15</xdr:row>
          <xdr:rowOff>165100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Left - 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5953</xdr:colOff>
      <xdr:row>51</xdr:row>
      <xdr:rowOff>173691</xdr:rowOff>
    </xdr:from>
    <xdr:to>
      <xdr:col>11</xdr:col>
      <xdr:colOff>0</xdr:colOff>
      <xdr:row>164</xdr:row>
      <xdr:rowOff>162484</xdr:rowOff>
    </xdr:to>
    <xdr:graphicFrame macro="">
      <xdr:nvGraphicFramePr>
        <xdr:cNvPr id="40" name="Chart 1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0.85738</cdr:x>
      <cdr:y>0.0575</cdr:y>
    </cdr:from>
    <cdr:to>
      <cdr:x>0.97929</cdr:x>
      <cdr:y>0.15453</cdr:y>
    </cdr:to>
    <cdr:sp macro="" textlink="">
      <cdr:nvSpPr>
        <cdr:cNvPr id="2" name="Rectangle 1"/>
        <cdr:cNvSpPr/>
      </cdr:nvSpPr>
      <cdr:spPr bwMode="auto">
        <a:xfrm xmlns:a="http://schemas.openxmlformats.org/drawingml/2006/main">
          <a:off x="3352984" y="184080"/>
          <a:ext cx="476756" cy="3106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0.11852</cdr:x>
      <cdr:y>0.06708</cdr:y>
    </cdr:from>
    <cdr:to>
      <cdr:x>0.20022</cdr:x>
      <cdr:y>0.15225</cdr:y>
    </cdr:to>
    <cdr:sp macro="" textlink="">
      <cdr:nvSpPr>
        <cdr:cNvPr id="3" name="Rectangle 2"/>
        <cdr:cNvSpPr/>
      </cdr:nvSpPr>
      <cdr:spPr bwMode="auto">
        <a:xfrm xmlns:a="http://schemas.openxmlformats.org/drawingml/2006/main">
          <a:off x="463516" y="214744"/>
          <a:ext cx="319506" cy="2726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0.87949</cdr:x>
      <cdr:y>0.08105</cdr:y>
    </cdr:from>
    <cdr:to>
      <cdr:x>0.98383</cdr:x>
      <cdr:y>0.15801</cdr:y>
    </cdr:to>
    <cdr:sp macro="" textlink="">
      <cdr:nvSpPr>
        <cdr:cNvPr id="2" name="Rectangle 1"/>
        <cdr:cNvSpPr/>
      </cdr:nvSpPr>
      <cdr:spPr bwMode="auto">
        <a:xfrm xmlns:a="http://schemas.openxmlformats.org/drawingml/2006/main">
          <a:off x="4745808" y="250096"/>
          <a:ext cx="563026" cy="23747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0.13252</cdr:x>
      <cdr:y>0.0977</cdr:y>
    </cdr:from>
    <cdr:to>
      <cdr:x>0.21422</cdr:x>
      <cdr:y>0.15539</cdr:y>
    </cdr:to>
    <cdr:sp macro="" textlink="">
      <cdr:nvSpPr>
        <cdr:cNvPr id="3" name="Rectangle 2"/>
        <cdr:cNvSpPr/>
      </cdr:nvSpPr>
      <cdr:spPr bwMode="auto">
        <a:xfrm xmlns:a="http://schemas.openxmlformats.org/drawingml/2006/main">
          <a:off x="517889" y="313304"/>
          <a:ext cx="319276" cy="18499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0.34104</cdr:x>
      <cdr:y>0.86986</cdr:y>
    </cdr:from>
    <cdr:to>
      <cdr:x>0.80202</cdr:x>
      <cdr:y>0.95206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F9BA921-6AF3-461B-8B97-E83EE34A6709}"/>
            </a:ext>
          </a:extLst>
        </cdr:cNvPr>
        <cdr:cNvSpPr txBox="1"/>
      </cdr:nvSpPr>
      <cdr:spPr>
        <a:xfrm xmlns:a="http://schemas.openxmlformats.org/drawingml/2006/main">
          <a:off x="1404937" y="2268141"/>
          <a:ext cx="1899047" cy="214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Hearing Level (dBHL)</a:t>
          </a:r>
        </a:p>
      </cdr:txBody>
    </cdr:sp>
  </cdr:relSizeAnchor>
  <cdr:relSizeAnchor xmlns:cdr="http://schemas.openxmlformats.org/drawingml/2006/chartDrawing">
    <cdr:from>
      <cdr:x>0.01594</cdr:x>
      <cdr:y>0.23208</cdr:y>
    </cdr:from>
    <cdr:to>
      <cdr:x>0.08671</cdr:x>
      <cdr:y>0.79224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2341119-F492-450B-A777-CE3F4157358B}"/>
            </a:ext>
          </a:extLst>
        </cdr:cNvPr>
        <cdr:cNvSpPr txBox="1"/>
      </cdr:nvSpPr>
      <cdr:spPr>
        <a:xfrm xmlns:a="http://schemas.openxmlformats.org/drawingml/2006/main" rot="16200000">
          <a:off x="-765624" y="1640934"/>
          <a:ext cx="1954122" cy="2915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Word Recognition Score</a:t>
          </a:r>
          <a:r>
            <a:rPr lang="en-US" sz="1100" baseline="0"/>
            <a:t> (%)</a:t>
          </a:r>
          <a:endParaRPr lang="en-US" sz="1100"/>
        </a:p>
      </cdr:txBody>
    </cdr:sp>
  </cdr:relSizeAnchor>
  <cdr:relSizeAnchor xmlns:cdr="http://schemas.openxmlformats.org/drawingml/2006/chartDrawing">
    <cdr:from>
      <cdr:x>0.33671</cdr:x>
      <cdr:y>0.04266</cdr:y>
    </cdr:from>
    <cdr:to>
      <cdr:x>0.69653</cdr:x>
      <cdr:y>0.12116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EA479A1D-357F-48F4-B228-8469704462B5}"/>
            </a:ext>
          </a:extLst>
        </cdr:cNvPr>
        <cdr:cNvSpPr txBox="1"/>
      </cdr:nvSpPr>
      <cdr:spPr>
        <a:xfrm xmlns:a="http://schemas.openxmlformats.org/drawingml/2006/main">
          <a:off x="1387078" y="148829"/>
          <a:ext cx="1482328" cy="2738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/>
            <a:t>SPEECH AUDIOMETRY</a:t>
          </a: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IC5" totalsRowShown="0" headerRowDxfId="242" dataDxfId="241">
  <autoFilter ref="A1:IC5" xr:uid="{00000000-0009-0000-0100-000001000000}"/>
  <sortState xmlns:xlrd2="http://schemas.microsoft.com/office/spreadsheetml/2017/richdata2" ref="A2:IC5">
    <sortCondition ref="A1:A5"/>
  </sortState>
  <tableColumns count="237">
    <tableColumn id="1" xr3:uid="{00000000-0010-0000-0000-000001000000}" name="Timestamp" dataDxfId="240"/>
    <tableColumn id="2" xr3:uid="{00000000-0010-0000-0000-000002000000}" name="Hospital #" dataDxfId="239"/>
    <tableColumn id="3" xr3:uid="{00000000-0010-0000-0000-000003000000}" name="Inpat#" dataDxfId="238"/>
    <tableColumn id="4" xr3:uid="{00000000-0010-0000-0000-000004000000}" name="Name" dataDxfId="237"/>
    <tableColumn id="5" xr3:uid="{00000000-0010-0000-0000-000005000000}" name="Age" dataDxfId="236"/>
    <tableColumn id="6" xr3:uid="{00000000-0010-0000-0000-000006000000}" name="Sex" dataDxfId="235"/>
    <tableColumn id="7" xr3:uid="{00000000-0010-0000-0000-000007000000}" name="Address" dataDxfId="234"/>
    <tableColumn id="8" xr3:uid="{00000000-0010-0000-0000-000008000000}" name="Tester" dataDxfId="233"/>
    <tableColumn id="9" xr3:uid="{00000000-0010-0000-0000-000009000000}" name="PTA" dataDxfId="232"/>
    <tableColumn id="10" xr3:uid="{00000000-0010-0000-0000-00000A000000}" name="TYMP" dataDxfId="231"/>
    <tableColumn id="11" xr3:uid="{00000000-0010-0000-0000-00000B000000}" name="VRA" dataDxfId="230"/>
    <tableColumn id="12" xr3:uid="{00000000-0010-0000-0000-00000C000000}" name="PLAY" dataDxfId="229"/>
    <tableColumn id="13" xr3:uid="{00000000-0010-0000-0000-00000D000000}" name="DPOAE" dataDxfId="228"/>
    <tableColumn id="14" xr3:uid="{00000000-0010-0000-0000-00000E000000}" name="ABR" dataDxfId="227"/>
    <tableColumn id="15" xr3:uid="{00000000-0010-0000-0000-00000F000000}" name="Hx" dataDxfId="226"/>
    <tableColumn id="16" xr3:uid="{00000000-0010-0000-0000-000010000000}" name="R:Degree" dataDxfId="225"/>
    <tableColumn id="17" xr3:uid="{00000000-0010-0000-0000-000011000000}" name="R:Type" dataDxfId="224"/>
    <tableColumn id="18" xr3:uid="{00000000-0010-0000-0000-000012000000}" name="L:Degree" dataDxfId="223"/>
    <tableColumn id="19" xr3:uid="{00000000-0010-0000-0000-000013000000}" name="L:Type" dataDxfId="222"/>
    <tableColumn id="20" xr3:uid="{00000000-0010-0000-0000-000014000000}" name="R:4FA-AC" dataDxfId="221"/>
    <tableColumn id="21" xr3:uid="{00000000-0010-0000-0000-000015000000}" name="L:4FA-AC" dataDxfId="220"/>
    <tableColumn id="22" xr3:uid="{00000000-0010-0000-0000-000016000000}" name="R:4FA-BC" dataDxfId="219"/>
    <tableColumn id="23" xr3:uid="{00000000-0010-0000-0000-000017000000}" name="L:4FA-BC" dataDxfId="218"/>
    <tableColumn id="24" xr3:uid="{00000000-0010-0000-0000-000018000000}" name="R:5FA-AC" dataDxfId="217"/>
    <tableColumn id="25" xr3:uid="{00000000-0010-0000-0000-000019000000}" name="L:5FA-AC" dataDxfId="216"/>
    <tableColumn id="26" xr3:uid="{00000000-0010-0000-0000-00001A000000}" name="R:5FA-BC" dataDxfId="215"/>
    <tableColumn id="27" xr3:uid="{00000000-0010-0000-0000-00001B000000}" name="L:5FA-BC" dataDxfId="214"/>
    <tableColumn id="28" xr3:uid="{00000000-0010-0000-0000-00001C000000}" name="RAC:125" dataDxfId="213"/>
    <tableColumn id="29" xr3:uid="{00000000-0010-0000-0000-00001D000000}" name="RAC:250" dataDxfId="212"/>
    <tableColumn id="30" xr3:uid="{00000000-0010-0000-0000-00001E000000}" name="RAC:500" dataDxfId="211"/>
    <tableColumn id="31" xr3:uid="{00000000-0010-0000-0000-00001F000000}" name="RAC:750" dataDxfId="210"/>
    <tableColumn id="32" xr3:uid="{00000000-0010-0000-0000-000020000000}" name="RAC:1000" dataDxfId="209"/>
    <tableColumn id="33" xr3:uid="{00000000-0010-0000-0000-000021000000}" name="RAC:1500" dataDxfId="208"/>
    <tableColumn id="34" xr3:uid="{00000000-0010-0000-0000-000022000000}" name="RAC:2000" dataDxfId="207"/>
    <tableColumn id="35" xr3:uid="{00000000-0010-0000-0000-000023000000}" name="RAC:3000" dataDxfId="206"/>
    <tableColumn id="36" xr3:uid="{00000000-0010-0000-0000-000024000000}" name="RAC:4000" dataDxfId="205"/>
    <tableColumn id="37" xr3:uid="{00000000-0010-0000-0000-000025000000}" name="RAC:6000" dataDxfId="204"/>
    <tableColumn id="38" xr3:uid="{00000000-0010-0000-0000-000026000000}" name="RAC:8000" dataDxfId="203"/>
    <tableColumn id="39" xr3:uid="{00000000-0010-0000-0000-000027000000}" name="LAC:125" dataDxfId="202"/>
    <tableColumn id="40" xr3:uid="{00000000-0010-0000-0000-000028000000}" name="LAC:250" dataDxfId="201"/>
    <tableColumn id="41" xr3:uid="{00000000-0010-0000-0000-000029000000}" name="LAC:500" dataDxfId="200"/>
    <tableColumn id="42" xr3:uid="{00000000-0010-0000-0000-00002A000000}" name="LAC:750" dataDxfId="199"/>
    <tableColumn id="43" xr3:uid="{00000000-0010-0000-0000-00002B000000}" name="LAC:1000" dataDxfId="198"/>
    <tableColumn id="44" xr3:uid="{00000000-0010-0000-0000-00002C000000}" name="LAC:1500" dataDxfId="197"/>
    <tableColumn id="45" xr3:uid="{00000000-0010-0000-0000-00002D000000}" name="LAC:2000" dataDxfId="196"/>
    <tableColumn id="46" xr3:uid="{00000000-0010-0000-0000-00002E000000}" name="LAC:3000" dataDxfId="195"/>
    <tableColumn id="47" xr3:uid="{00000000-0010-0000-0000-00002F000000}" name="LAC:4000" dataDxfId="194"/>
    <tableColumn id="48" xr3:uid="{00000000-0010-0000-0000-000030000000}" name="LAC:6000" dataDxfId="193"/>
    <tableColumn id="49" xr3:uid="{00000000-0010-0000-0000-000031000000}" name="LAC:8000" dataDxfId="192"/>
    <tableColumn id="50" xr3:uid="{00000000-0010-0000-0000-000032000000}" name="RAC-M:125" dataDxfId="191"/>
    <tableColumn id="51" xr3:uid="{00000000-0010-0000-0000-000033000000}" name="RAC-M:250" dataDxfId="190"/>
    <tableColumn id="52" xr3:uid="{00000000-0010-0000-0000-000034000000}" name="RAC-M:500" dataDxfId="189"/>
    <tableColumn id="53" xr3:uid="{00000000-0010-0000-0000-000035000000}" name="RAC-M:750" dataDxfId="188"/>
    <tableColumn id="54" xr3:uid="{00000000-0010-0000-0000-000036000000}" name="RAC-M:1000" dataDxfId="187"/>
    <tableColumn id="55" xr3:uid="{00000000-0010-0000-0000-000037000000}" name="RAC-M:1500" dataDxfId="186"/>
    <tableColumn id="56" xr3:uid="{00000000-0010-0000-0000-000038000000}" name="RAC-M:2000" dataDxfId="185"/>
    <tableColumn id="57" xr3:uid="{00000000-0010-0000-0000-000039000000}" name="RAC-M:3000" dataDxfId="184"/>
    <tableColumn id="58" xr3:uid="{00000000-0010-0000-0000-00003A000000}" name="RAC-M:4000" dataDxfId="183"/>
    <tableColumn id="59" xr3:uid="{00000000-0010-0000-0000-00003B000000}" name="RAC-M:6000" dataDxfId="182"/>
    <tableColumn id="60" xr3:uid="{00000000-0010-0000-0000-00003C000000}" name="RAC-M:8000" dataDxfId="181"/>
    <tableColumn id="61" xr3:uid="{00000000-0010-0000-0000-00003D000000}" name="LAC-M:125" dataDxfId="180"/>
    <tableColumn id="62" xr3:uid="{00000000-0010-0000-0000-00003E000000}" name="LAC-M:250" dataDxfId="179"/>
    <tableColumn id="63" xr3:uid="{00000000-0010-0000-0000-00003F000000}" name="LAC-M:500" dataDxfId="178"/>
    <tableColumn id="64" xr3:uid="{00000000-0010-0000-0000-000040000000}" name="LAC-M:750" dataDxfId="177"/>
    <tableColumn id="65" xr3:uid="{00000000-0010-0000-0000-000041000000}" name="LAC-M:1000" dataDxfId="176"/>
    <tableColumn id="66" xr3:uid="{00000000-0010-0000-0000-000042000000}" name="LAC-M:1500" dataDxfId="175"/>
    <tableColumn id="67" xr3:uid="{00000000-0010-0000-0000-000043000000}" name="LAC-M:2000" dataDxfId="174"/>
    <tableColumn id="68" xr3:uid="{00000000-0010-0000-0000-000044000000}" name="LAC-M:3000" dataDxfId="173"/>
    <tableColumn id="69" xr3:uid="{00000000-0010-0000-0000-000045000000}" name="LAC-M:4000" dataDxfId="172"/>
    <tableColumn id="70" xr3:uid="{00000000-0010-0000-0000-000046000000}" name="LAC-M:6000" dataDxfId="171"/>
    <tableColumn id="71" xr3:uid="{00000000-0010-0000-0000-000047000000}" name="LAC-M:8000" dataDxfId="170"/>
    <tableColumn id="72" xr3:uid="{00000000-0010-0000-0000-000048000000}" name="RBC:500" dataDxfId="169"/>
    <tableColumn id="73" xr3:uid="{00000000-0010-0000-0000-000049000000}" name="RBC:750" dataDxfId="168"/>
    <tableColumn id="74" xr3:uid="{00000000-0010-0000-0000-00004A000000}" name="RBC:1000" dataDxfId="167"/>
    <tableColumn id="75" xr3:uid="{00000000-0010-0000-0000-00004B000000}" name="RBC:1500" dataDxfId="166"/>
    <tableColumn id="76" xr3:uid="{00000000-0010-0000-0000-00004C000000}" name="RBC:2000" dataDxfId="165"/>
    <tableColumn id="77" xr3:uid="{00000000-0010-0000-0000-00004D000000}" name="RBC:3000" dataDxfId="164"/>
    <tableColumn id="78" xr3:uid="{00000000-0010-0000-0000-00004E000000}" name="RBC:4000" dataDxfId="163"/>
    <tableColumn id="79" xr3:uid="{00000000-0010-0000-0000-00004F000000}" name="LBC:500" dataDxfId="162"/>
    <tableColumn id="80" xr3:uid="{00000000-0010-0000-0000-000050000000}" name="LBC:750" dataDxfId="161"/>
    <tableColumn id="81" xr3:uid="{00000000-0010-0000-0000-000051000000}" name="LBC:1000" dataDxfId="160"/>
    <tableColumn id="82" xr3:uid="{00000000-0010-0000-0000-000052000000}" name="LBC:1500" dataDxfId="159"/>
    <tableColumn id="83" xr3:uid="{00000000-0010-0000-0000-000053000000}" name="LBC:2000" dataDxfId="158"/>
    <tableColumn id="84" xr3:uid="{00000000-0010-0000-0000-000054000000}" name="LBC:3000" dataDxfId="157"/>
    <tableColumn id="85" xr3:uid="{00000000-0010-0000-0000-000055000000}" name="LBC:4000" dataDxfId="156"/>
    <tableColumn id="86" xr3:uid="{00000000-0010-0000-0000-000056000000}" name="RBC-M:500" dataDxfId="155"/>
    <tableColumn id="87" xr3:uid="{00000000-0010-0000-0000-000057000000}" name="RBC-M:750" dataDxfId="154"/>
    <tableColumn id="88" xr3:uid="{00000000-0010-0000-0000-000058000000}" name="RBC-M:1000" dataDxfId="153"/>
    <tableColumn id="89" xr3:uid="{00000000-0010-0000-0000-000059000000}" name="RBC-M:1500" dataDxfId="152"/>
    <tableColumn id="90" xr3:uid="{00000000-0010-0000-0000-00005A000000}" name="RBC-M:2000" dataDxfId="151"/>
    <tableColumn id="91" xr3:uid="{00000000-0010-0000-0000-00005B000000}" name="RBC-M:3000" dataDxfId="150"/>
    <tableColumn id="92" xr3:uid="{00000000-0010-0000-0000-00005C000000}" name="RBC-M:4000" dataDxfId="149"/>
    <tableColumn id="93" xr3:uid="{00000000-0010-0000-0000-00005D000000}" name="LBC-M:500" dataDxfId="148"/>
    <tableColumn id="94" xr3:uid="{00000000-0010-0000-0000-00005E000000}" name="LBC-M:750" dataDxfId="147"/>
    <tableColumn id="95" xr3:uid="{00000000-0010-0000-0000-00005F000000}" name="LBC-M:1000" dataDxfId="146"/>
    <tableColumn id="96" xr3:uid="{00000000-0010-0000-0000-000060000000}" name="LBC-M:1500" dataDxfId="145"/>
    <tableColumn id="97" xr3:uid="{00000000-0010-0000-0000-000061000000}" name="LBC-M:2000" dataDxfId="144"/>
    <tableColumn id="98" xr3:uid="{00000000-0010-0000-0000-000062000000}" name="LBC-M:3000" dataDxfId="143"/>
    <tableColumn id="99" xr3:uid="{00000000-0010-0000-0000-000063000000}" name="LBC-M:4000" dataDxfId="142"/>
    <tableColumn id="100" xr3:uid="{00000000-0010-0000-0000-000064000000}" name="RHA:125" dataDxfId="141"/>
    <tableColumn id="101" xr3:uid="{00000000-0010-0000-0000-000065000000}" name="RHA:250" dataDxfId="140"/>
    <tableColumn id="102" xr3:uid="{00000000-0010-0000-0000-000066000000}" name="RHA:500" dataDxfId="139"/>
    <tableColumn id="103" xr3:uid="{00000000-0010-0000-0000-000067000000}" name="RHA:750" dataDxfId="138"/>
    <tableColumn id="104" xr3:uid="{00000000-0010-0000-0000-000068000000}" name="RHA:1000" dataDxfId="137"/>
    <tableColumn id="105" xr3:uid="{00000000-0010-0000-0000-000069000000}" name="RHA:1500" dataDxfId="136"/>
    <tableColumn id="106" xr3:uid="{00000000-0010-0000-0000-00006A000000}" name="RHA:2000" dataDxfId="135"/>
    <tableColumn id="107" xr3:uid="{00000000-0010-0000-0000-00006B000000}" name="RHA:3000" dataDxfId="134"/>
    <tableColumn id="108" xr3:uid="{00000000-0010-0000-0000-00006C000000}" name="RHA:4000" dataDxfId="133"/>
    <tableColumn id="109" xr3:uid="{00000000-0010-0000-0000-00006D000000}" name="RHA:6000" dataDxfId="132"/>
    <tableColumn id="110" xr3:uid="{00000000-0010-0000-0000-00006E000000}" name="RHA:8000" dataDxfId="131"/>
    <tableColumn id="111" xr3:uid="{00000000-0010-0000-0000-00006F000000}" name="LHA:125" dataDxfId="130"/>
    <tableColumn id="112" xr3:uid="{00000000-0010-0000-0000-000070000000}" name="LHA:250" dataDxfId="129"/>
    <tableColumn id="113" xr3:uid="{00000000-0010-0000-0000-000071000000}" name="LHA:500" dataDxfId="128"/>
    <tableColumn id="114" xr3:uid="{00000000-0010-0000-0000-000072000000}" name="LHA:750" dataDxfId="127"/>
    <tableColumn id="115" xr3:uid="{00000000-0010-0000-0000-000073000000}" name="LHA:1000" dataDxfId="126"/>
    <tableColumn id="116" xr3:uid="{00000000-0010-0000-0000-000074000000}" name="LHA:1500" dataDxfId="125"/>
    <tableColumn id="117" xr3:uid="{00000000-0010-0000-0000-000075000000}" name="LHA:2000" dataDxfId="124"/>
    <tableColumn id="118" xr3:uid="{00000000-0010-0000-0000-000076000000}" name="LHA:3000" dataDxfId="123"/>
    <tableColumn id="119" xr3:uid="{00000000-0010-0000-0000-000077000000}" name="LHA:4000" dataDxfId="122"/>
    <tableColumn id="120" xr3:uid="{00000000-0010-0000-0000-000078000000}" name="LHA:6000" dataDxfId="121"/>
    <tableColumn id="121" xr3:uid="{00000000-0010-0000-0000-000079000000}" name="LHA:8000" dataDxfId="120"/>
    <tableColumn id="122" xr3:uid="{00000000-0010-0000-0000-00007A000000}" name="RSF:125" dataDxfId="119"/>
    <tableColumn id="123" xr3:uid="{00000000-0010-0000-0000-00007B000000}" name="RSF:250" dataDxfId="118"/>
    <tableColumn id="124" xr3:uid="{00000000-0010-0000-0000-00007C000000}" name="RSF:500" dataDxfId="117"/>
    <tableColumn id="125" xr3:uid="{00000000-0010-0000-0000-00007D000000}" name="RSF:750" dataDxfId="116"/>
    <tableColumn id="126" xr3:uid="{00000000-0010-0000-0000-00007E000000}" name="RSF:1000" dataDxfId="115"/>
    <tableColumn id="127" xr3:uid="{00000000-0010-0000-0000-00007F000000}" name="RSF:1500" dataDxfId="114"/>
    <tableColumn id="128" xr3:uid="{00000000-0010-0000-0000-000080000000}" name="RSF:2000" dataDxfId="113"/>
    <tableColumn id="129" xr3:uid="{00000000-0010-0000-0000-000081000000}" name="RSF:3000" dataDxfId="112"/>
    <tableColumn id="130" xr3:uid="{00000000-0010-0000-0000-000082000000}" name="RSF:4000" dataDxfId="111"/>
    <tableColumn id="131" xr3:uid="{00000000-0010-0000-0000-000083000000}" name="RSF:6000" dataDxfId="110"/>
    <tableColumn id="132" xr3:uid="{00000000-0010-0000-0000-000084000000}" name="RSF:8000" dataDxfId="109"/>
    <tableColumn id="133" xr3:uid="{00000000-0010-0000-0000-000085000000}" name="LSF:125" dataDxfId="108"/>
    <tableColumn id="134" xr3:uid="{00000000-0010-0000-0000-000086000000}" name="LSF:250" dataDxfId="107"/>
    <tableColumn id="135" xr3:uid="{00000000-0010-0000-0000-000087000000}" name="LSF:500" dataDxfId="106"/>
    <tableColumn id="136" xr3:uid="{00000000-0010-0000-0000-000088000000}" name="LSF:750" dataDxfId="105"/>
    <tableColumn id="137" xr3:uid="{00000000-0010-0000-0000-000089000000}" name="LSF:1000" dataDxfId="104"/>
    <tableColumn id="138" xr3:uid="{00000000-0010-0000-0000-00008A000000}" name="LSF:1500" dataDxfId="103"/>
    <tableColumn id="139" xr3:uid="{00000000-0010-0000-0000-00008B000000}" name="LSF:2000" dataDxfId="102"/>
    <tableColumn id="140" xr3:uid="{00000000-0010-0000-0000-00008C000000}" name="LSF:3000" dataDxfId="101"/>
    <tableColumn id="141" xr3:uid="{00000000-0010-0000-0000-00008D000000}" name="LSF:4000" dataDxfId="100"/>
    <tableColumn id="142" xr3:uid="{00000000-0010-0000-0000-00008E000000}" name="LSF:6000" dataDxfId="99"/>
    <tableColumn id="143" xr3:uid="{00000000-0010-0000-0000-00008F000000}" name="LSF:8000" dataDxfId="98"/>
    <tableColumn id="144" xr3:uid="{00000000-0010-0000-0000-000090000000}" name="RULL:500" dataDxfId="97"/>
    <tableColumn id="145" xr3:uid="{00000000-0010-0000-0000-000091000000}" name="RULL:750" dataDxfId="96"/>
    <tableColumn id="146" xr3:uid="{00000000-0010-0000-0000-000092000000}" name="RULL:1000" dataDxfId="95"/>
    <tableColumn id="147" xr3:uid="{00000000-0010-0000-0000-000093000000}" name="RULL:1500" dataDxfId="94"/>
    <tableColumn id="148" xr3:uid="{00000000-0010-0000-0000-000094000000}" name="RULL:2000" dataDxfId="93"/>
    <tableColumn id="149" xr3:uid="{00000000-0010-0000-0000-000095000000}" name="RULL:3000" dataDxfId="92"/>
    <tableColumn id="150" xr3:uid="{00000000-0010-0000-0000-000096000000}" name="RULL:4000" dataDxfId="91"/>
    <tableColumn id="151" xr3:uid="{00000000-0010-0000-0000-000097000000}" name="LULL:500" dataDxfId="90"/>
    <tableColumn id="152" xr3:uid="{00000000-0010-0000-0000-000098000000}" name="LULL:750" dataDxfId="89"/>
    <tableColumn id="153" xr3:uid="{00000000-0010-0000-0000-000099000000}" name="LULL:1000" dataDxfId="88"/>
    <tableColumn id="154" xr3:uid="{00000000-0010-0000-0000-00009A000000}" name="LULL:1500" dataDxfId="87"/>
    <tableColumn id="155" xr3:uid="{00000000-0010-0000-0000-00009B000000}" name="LULL:2000" dataDxfId="86"/>
    <tableColumn id="156" xr3:uid="{00000000-0010-0000-0000-00009C000000}" name="LULL:3000" dataDxfId="85"/>
    <tableColumn id="157" xr3:uid="{00000000-0010-0000-0000-00009D000000}" name="LULL:4000" dataDxfId="84"/>
    <tableColumn id="158" xr3:uid="{00000000-0010-0000-0000-00009E000000}" name="R-Note" dataDxfId="83"/>
    <tableColumn id="159" xr3:uid="{00000000-0010-0000-0000-00009F000000}" name="L-Note" dataDxfId="82"/>
    <tableColumn id="160" xr3:uid="{00000000-0010-0000-0000-0000A0000000}" name="Comments" dataDxfId="81"/>
    <tableColumn id="161" xr3:uid="{00000000-0010-0000-0000-0000A1000000}" name="RTYMP-Type" dataDxfId="80"/>
    <tableColumn id="162" xr3:uid="{00000000-0010-0000-0000-0000A2000000}" name="RTYMP-Vol" dataDxfId="79"/>
    <tableColumn id="163" xr3:uid="{00000000-0010-0000-0000-0000A3000000}" name="RTYMP-MEP" dataDxfId="78"/>
    <tableColumn id="164" xr3:uid="{00000000-0010-0000-0000-0000A4000000}" name="RTYMP-Pk" dataDxfId="77"/>
    <tableColumn id="165" xr3:uid="{00000000-0010-0000-0000-0000A5000000}" name="RTYMP-Width" dataDxfId="76"/>
    <tableColumn id="166" xr3:uid="{00000000-0010-0000-0000-0000A6000000}" name="LTYMP-Type" dataDxfId="75"/>
    <tableColumn id="167" xr3:uid="{00000000-0010-0000-0000-0000A7000000}" name="LTYMP-Vol" dataDxfId="74"/>
    <tableColumn id="168" xr3:uid="{00000000-0010-0000-0000-0000A8000000}" name="LTYMP-MEP" dataDxfId="73"/>
    <tableColumn id="169" xr3:uid="{00000000-0010-0000-0000-0000A9000000}" name="LTYMP-Pk" dataDxfId="72"/>
    <tableColumn id="170" xr3:uid="{00000000-0010-0000-0000-0000AA000000}" name="LTYMP-Width" dataDxfId="71"/>
    <tableColumn id="171" xr3:uid="{00000000-0010-0000-0000-0000AB000000}" name="DPR:1k" dataDxfId="70"/>
    <tableColumn id="172" xr3:uid="{00000000-0010-0000-0000-0000AC000000}" name="DPR:1.6k" dataDxfId="69"/>
    <tableColumn id="173" xr3:uid="{00000000-0010-0000-0000-0000AD000000}" name="DPR:2k" dataDxfId="68"/>
    <tableColumn id="174" xr3:uid="{00000000-0010-0000-0000-0000AE000000}" name="DPR:3k" dataDxfId="67"/>
    <tableColumn id="175" xr3:uid="{00000000-0010-0000-0000-0000AF000000}" name="DPR:4k" dataDxfId="66"/>
    <tableColumn id="176" xr3:uid="{00000000-0010-0000-0000-0000B0000000}" name="DPR:5k" dataDxfId="65"/>
    <tableColumn id="177" xr3:uid="{00000000-0010-0000-0000-0000B1000000}" name="DPR:6k" dataDxfId="64"/>
    <tableColumn id="178" xr3:uid="{00000000-0010-0000-0000-0000B2000000}" name="DPR:8k" dataDxfId="63"/>
    <tableColumn id="179" xr3:uid="{00000000-0010-0000-0000-0000B3000000}" name="DPR:ALL" dataDxfId="62"/>
    <tableColumn id="180" xr3:uid="{00000000-0010-0000-0000-0000B4000000}" name="DPL:1k" dataDxfId="61"/>
    <tableColumn id="181" xr3:uid="{00000000-0010-0000-0000-0000B5000000}" name="DPL:1.6k" dataDxfId="60"/>
    <tableColumn id="182" xr3:uid="{00000000-0010-0000-0000-0000B6000000}" name="DPL:2k" dataDxfId="59"/>
    <tableColumn id="183" xr3:uid="{00000000-0010-0000-0000-0000B7000000}" name="DPL:3k" dataDxfId="58"/>
    <tableColumn id="184" xr3:uid="{00000000-0010-0000-0000-0000B8000000}" name="DPL:4k" dataDxfId="57"/>
    <tableColumn id="185" xr3:uid="{00000000-0010-0000-0000-0000B9000000}" name="DPL:5k" dataDxfId="56"/>
    <tableColumn id="186" xr3:uid="{00000000-0010-0000-0000-0000BA000000}" name="DPL:6k" dataDxfId="55"/>
    <tableColumn id="187" xr3:uid="{00000000-0010-0000-0000-0000BB000000}" name="DPL:8k" dataDxfId="54"/>
    <tableColumn id="188" xr3:uid="{00000000-0010-0000-0000-0000BC000000}" name="DPL:ALL" dataDxfId="53"/>
    <tableColumn id="189" xr3:uid="{00000000-0010-0000-0000-0000BD000000}" name="RR:0.5" dataDxfId="52"/>
    <tableColumn id="190" xr3:uid="{00000000-0010-0000-0000-0000BE000000}" name="RR:1" dataDxfId="51"/>
    <tableColumn id="191" xr3:uid="{00000000-0010-0000-0000-0000BF000000}" name="RR:2" dataDxfId="50"/>
    <tableColumn id="192" xr3:uid="{00000000-0010-0000-0000-0000C0000000}" name="RR:BBN" dataDxfId="49"/>
    <tableColumn id="193" xr3:uid="{00000000-0010-0000-0000-0000C1000000}" name="LR:0.5" dataDxfId="48"/>
    <tableColumn id="194" xr3:uid="{00000000-0010-0000-0000-0000C2000000}" name="LR:1" dataDxfId="47"/>
    <tableColumn id="195" xr3:uid="{00000000-0010-0000-0000-0000C3000000}" name="LR:2" dataDxfId="46"/>
    <tableColumn id="196" xr3:uid="{00000000-0010-0000-0000-0000C4000000}" name="LR:BBN" dataDxfId="45"/>
    <tableColumn id="197" xr3:uid="{00000000-0010-0000-0000-0000C5000000}" name="Reliability" dataDxfId="44"/>
    <tableColumn id="198" xr3:uid="{00000000-0010-0000-0000-0000C6000000}" name="Otoscopy" dataDxfId="43"/>
    <tableColumn id="199" xr3:uid="{00000000-0010-0000-0000-0000C7000000}" name="Sp1:M" dataDxfId="42"/>
    <tableColumn id="200" xr3:uid="{00000000-0010-0000-0000-0000C8000000}" name="SP1-Type" dataDxfId="41"/>
    <tableColumn id="201" xr3:uid="{00000000-0010-0000-0000-0000C9000000}" name="R:Sp1-%" dataDxfId="40"/>
    <tableColumn id="202" xr3:uid="{00000000-0010-0000-0000-0000CA000000}" name="R:Sp1-dB" dataDxfId="39"/>
    <tableColumn id="203" xr3:uid="{00000000-0010-0000-0000-0000CB000000}" name="L-Sp1-%" dataDxfId="38"/>
    <tableColumn id="204" xr3:uid="{00000000-0010-0000-0000-0000CC000000}" name="L:Sp1-dB" dataDxfId="37"/>
    <tableColumn id="205" xr3:uid="{00000000-0010-0000-0000-0000CD000000}" name="Sp2:M" dataDxfId="36"/>
    <tableColumn id="206" xr3:uid="{00000000-0010-0000-0000-0000CE000000}" name="SP2-Type" dataDxfId="35"/>
    <tableColumn id="207" xr3:uid="{00000000-0010-0000-0000-0000CF000000}" name="R:Sp2-%" dataDxfId="34"/>
    <tableColumn id="208" xr3:uid="{00000000-0010-0000-0000-0000D0000000}" name="R:Sp2-dB" dataDxfId="33"/>
    <tableColumn id="209" xr3:uid="{00000000-0010-0000-0000-0000D1000000}" name="L-Sp2-%" dataDxfId="32"/>
    <tableColumn id="210" xr3:uid="{00000000-0010-0000-0000-0000D2000000}" name="L:Sp2-dB" dataDxfId="31"/>
    <tableColumn id="211" xr3:uid="{00000000-0010-0000-0000-0000D3000000}" name="Sp3:M" dataDxfId="30"/>
    <tableColumn id="212" xr3:uid="{00000000-0010-0000-0000-0000D4000000}" name="SP3-Type" dataDxfId="29"/>
    <tableColumn id="213" xr3:uid="{00000000-0010-0000-0000-0000D5000000}" name="R:Sp3-%" dataDxfId="28"/>
    <tableColumn id="214" xr3:uid="{00000000-0010-0000-0000-0000D6000000}" name="R:Sp3-dB" dataDxfId="27"/>
    <tableColumn id="215" xr3:uid="{00000000-0010-0000-0000-0000D7000000}" name="L-Sp3-%" dataDxfId="26"/>
    <tableColumn id="216" xr3:uid="{00000000-0010-0000-0000-0000D8000000}" name="L:Sp3-dB" dataDxfId="25"/>
    <tableColumn id="217" xr3:uid="{00000000-0010-0000-0000-0000D9000000}" name="Sp3:M2" dataDxfId="24"/>
    <tableColumn id="218" xr3:uid="{00000000-0010-0000-0000-0000DA000000}" name="SP3-Type3" dataDxfId="23"/>
    <tableColumn id="219" xr3:uid="{00000000-0010-0000-0000-0000DB000000}" name="R:SDT" dataDxfId="22"/>
    <tableColumn id="220" xr3:uid="{00000000-0010-0000-0000-0000DC000000}" name="L:SDT" dataDxfId="21"/>
    <tableColumn id="221" xr3:uid="{00000000-0010-0000-0000-0000DD000000}" name="Sp4:M" dataDxfId="20"/>
    <tableColumn id="222" xr3:uid="{00000000-0010-0000-0000-0000DE000000}" name="SP4-Type" dataDxfId="19"/>
    <tableColumn id="223" xr3:uid="{00000000-0010-0000-0000-0000DF000000}" name="R:SRT" dataDxfId="18"/>
    <tableColumn id="224" xr3:uid="{00000000-0010-0000-0000-0000E0000000}" name="L:SRT" dataDxfId="17"/>
    <tableColumn id="225" xr3:uid="{00000000-0010-0000-0000-0000E1000000}" name="Action" dataDxfId="16"/>
    <tableColumn id="226" xr3:uid="{00000000-0010-0000-0000-0000E2000000}" name="Action Note" dataDxfId="15"/>
    <tableColumn id="227" xr3:uid="{00000000-0010-0000-0000-0000E3000000}" name="R:Type (est)" dataDxfId="14">
      <calculatedColumnFormula>_xlfn.IFS(ISTEXT(Q2),Q2,VALUE(HU2)&lt;=20,"Normal",HU2-HW2&lt;=15,"SNHL",VALUE(HW2)&lt;=20,"CHL",AND(NOT(ISNUMBER(V2)),VALUE(HW2)&gt;=60),"SNHL",HU2-HW2&gt;15,"Mixed")</calculatedColumnFormula>
    </tableColumn>
    <tableColumn id="228" xr3:uid="{00000000-0010-0000-0000-0000E4000000}" name="L:Type (est)" dataDxfId="13">
      <calculatedColumnFormula>_xlfn.IFS(ISTEXT(S2),S2,VALUE(HV2)&lt;=20,"Normal",HV2-HX2&lt;=15,"SNHL",VALUE(HX2)&lt;=20,"CHL",AND(NOT(ISNUMBER(W2)),VALUE(HX2)&gt;=60),"SNHL",HV2-HX2&gt;15,"Mixed")</calculatedColumnFormula>
    </tableColumn>
    <tableColumn id="229" xr3:uid="{00000000-0010-0000-0000-0000E5000000}" name="R:4FAC" dataDxfId="12">
      <calculatedColumnFormula>LEFT(T2,SUM(LEN(T2)-LEN(SUBSTITUTE(T2,{".","0","1","2","3","4","5","6","7","8","9"},""))))</calculatedColumnFormula>
    </tableColumn>
    <tableColumn id="230" xr3:uid="{00000000-0010-0000-0000-0000E6000000}" name="L:4FAC" dataDxfId="11">
      <calculatedColumnFormula>LEFT(U2,SUM(LEN(U2)-LEN(SUBSTITUTE(U2,{".","0","1","2","3","4","5","6","7","8","9"},""))))</calculatedColumnFormula>
    </tableColumn>
    <tableColumn id="231" xr3:uid="{00000000-0010-0000-0000-0000E7000000}" name="R:4FBC" dataDxfId="10">
      <calculatedColumnFormula>LEFT(V2,SUM(LEN(V2)-LEN(SUBSTITUTE(V2,{".","0","1","2","3","4","5","6","7","8","9"},""))))</calculatedColumnFormula>
    </tableColumn>
    <tableColumn id="232" xr3:uid="{00000000-0010-0000-0000-0000E8000000}" name="L:4FBC" dataDxfId="9">
      <calculatedColumnFormula>LEFT(W2,SUM(LEN(W2)-LEN(SUBSTITUTE(W2,{".","0","1","2","3","4","5","6","7","8","9"},""))))</calculatedColumnFormula>
    </tableColumn>
    <tableColumn id="233" xr3:uid="{00000000-0010-0000-0000-0000E9000000}" name="BEST EAR" dataDxfId="8">
      <calculatedColumnFormula>IF(HU2&lt;HV2,HU2,HV2)</calculatedColumnFormula>
    </tableColumn>
    <tableColumn id="234" xr3:uid="{00000000-0010-0000-0000-0000EA000000}" name="WHO Rating" dataDxfId="7">
      <calculatedColumnFormula>IF(E2&lt;=18,INDEX($IE$2:$IE$5,MATCH(VALUE(HY2),$ID$2:$ID$5,1)),INDEX($IE$2:$IE$5,MATCH(VALUE(HY2),$IF$2:$IF$5,1)))</calculatedColumnFormula>
    </tableColumn>
    <tableColumn id="235" xr3:uid="{00000000-0010-0000-0000-0000EB000000}" name="Best Ear Type" dataDxfId="6">
      <calculatedColumnFormula>IF(HU2&lt;HV2,HS2,HT2)</calculatedColumnFormula>
    </tableColumn>
    <tableColumn id="237" xr3:uid="{00000000-0010-0000-0000-0000ED000000}" name="Visit Count" dataDxfId="5">
      <calculatedColumnFormula>COUNTIF($B$2:B2,B2)</calculatedColumnFormula>
    </tableColumn>
    <tableColumn id="236" xr3:uid="{DCD3568F-E4E5-440E-94DF-5966F2590604}" name="Surgery" dataDxfId="4">
      <calculatedColumnFormula>IF(ISNUMBER(SEARCH("Preop",O2)),"PREOP",IF(ISNUMBER(SEARCH("Postop",O2)),"POSTOP",""))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printerSettings" Target="../printerSettings/printerSettings2.bin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hyperlink" Target="mailto:SRT@" TargetMode="Externa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mailto:SRT@" TargetMode="Externa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7.xml"/><Relationship Id="rId5" Type="http://schemas.openxmlformats.org/officeDocument/2006/relationships/vmlDrawing" Target="../drawings/vmlDrawing2.v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IL5"/>
  <sheetViews>
    <sheetView zoomScale="64" zoomScaleNormal="102" workbookViewId="0">
      <pane ySplit="1" topLeftCell="A2" activePane="bottomLeft" state="frozen"/>
      <selection pane="bottomLeft" activeCell="A2" sqref="A2"/>
    </sheetView>
  </sheetViews>
  <sheetFormatPr defaultColWidth="9" defaultRowHeight="12.5" x14ac:dyDescent="0.25"/>
  <cols>
    <col min="1" max="1" width="18.26953125" style="153" customWidth="1"/>
    <col min="2" max="2" width="12.6328125" style="1" customWidth="1"/>
    <col min="3" max="3" width="9" style="1"/>
    <col min="4" max="4" width="17.7265625" style="1" customWidth="1"/>
    <col min="5" max="6" width="9" style="1"/>
    <col min="7" max="7" width="18.26953125" style="1" customWidth="1"/>
    <col min="8" max="15" width="9" style="1"/>
    <col min="16" max="16" width="10.08984375" style="1" customWidth="1"/>
    <col min="17" max="17" width="9" style="1"/>
    <col min="18" max="18" width="10" style="1" customWidth="1"/>
    <col min="19" max="19" width="9" style="1"/>
    <col min="20" max="20" width="10.6328125" style="1" customWidth="1"/>
    <col min="21" max="21" width="10.26953125" style="1" customWidth="1"/>
    <col min="22" max="22" width="10.6328125" style="1" customWidth="1"/>
    <col min="23" max="23" width="10.26953125" style="1" customWidth="1"/>
    <col min="24" max="24" width="10.6328125" style="1" customWidth="1"/>
    <col min="25" max="25" width="10.26953125" style="1" customWidth="1"/>
    <col min="26" max="26" width="10.6328125" style="1" customWidth="1"/>
    <col min="27" max="27" width="10.26953125" style="1" customWidth="1"/>
    <col min="28" max="31" width="9.7265625" style="1" customWidth="1"/>
    <col min="32" max="38" width="10.7265625" style="1" customWidth="1"/>
    <col min="39" max="42" width="9.6328125" style="1" customWidth="1"/>
    <col min="43" max="49" width="10.6328125" style="1" customWidth="1"/>
    <col min="50" max="53" width="11.7265625" style="1" customWidth="1"/>
    <col min="54" max="60" width="12.7265625" style="1" customWidth="1"/>
    <col min="61" max="64" width="11.6328125" style="1" customWidth="1"/>
    <col min="65" max="71" width="12.6328125" style="1" customWidth="1"/>
    <col min="72" max="73" width="9.81640625" style="1" customWidth="1"/>
    <col min="74" max="78" width="10.81640625" style="1" customWidth="1"/>
    <col min="79" max="80" width="9.6328125" style="1" customWidth="1"/>
    <col min="81" max="85" width="10.6328125" style="1" customWidth="1"/>
    <col min="86" max="87" width="11.81640625" style="1" customWidth="1"/>
    <col min="88" max="92" width="12.81640625" style="1" customWidth="1"/>
    <col min="93" max="94" width="11.6328125" style="1" customWidth="1"/>
    <col min="95" max="99" width="12.6328125" style="1" customWidth="1"/>
    <col min="100" max="103" width="9.7265625" style="1" customWidth="1"/>
    <col min="104" max="110" width="10.7265625" style="1" customWidth="1"/>
    <col min="111" max="114" width="9.36328125" style="1" customWidth="1"/>
    <col min="115" max="121" width="10.36328125" style="1" customWidth="1"/>
    <col min="122" max="125" width="9.7265625" style="1" customWidth="1"/>
    <col min="126" max="132" width="10.7265625" style="1" customWidth="1"/>
    <col min="133" max="136" width="9.36328125" style="1" customWidth="1"/>
    <col min="137" max="143" width="10.36328125" style="1" customWidth="1"/>
    <col min="144" max="145" width="10.6328125" style="1" customWidth="1"/>
    <col min="146" max="150" width="11.6328125" style="1" customWidth="1"/>
    <col min="151" max="152" width="10.26953125" style="1" customWidth="1"/>
    <col min="153" max="157" width="11.26953125" style="1" customWidth="1"/>
    <col min="158" max="159" width="9" style="1"/>
    <col min="160" max="160" width="11" style="1" customWidth="1"/>
    <col min="161" max="161" width="13" style="1" customWidth="1"/>
    <col min="162" max="162" width="11.7265625" style="1" customWidth="1"/>
    <col min="163" max="163" width="13" style="1" customWidth="1"/>
    <col min="164" max="164" width="11.26953125" style="1" customWidth="1"/>
    <col min="165" max="165" width="13.7265625" style="1" customWidth="1"/>
    <col min="166" max="166" width="12.81640625" style="1" customWidth="1"/>
    <col min="167" max="167" width="11.36328125" style="1" customWidth="1"/>
    <col min="168" max="168" width="12.7265625" style="1" customWidth="1"/>
    <col min="169" max="169" width="11" style="1" customWidth="1"/>
    <col min="170" max="170" width="13.6328125" style="1" customWidth="1"/>
    <col min="171" max="171" width="9" style="1"/>
    <col min="172" max="172" width="10.6328125" style="1" customWidth="1"/>
    <col min="173" max="178" width="9" style="1"/>
    <col min="179" max="179" width="10.26953125" style="1" customWidth="1"/>
    <col min="180" max="180" width="9" style="1"/>
    <col min="181" max="181" width="10.26953125" style="1" customWidth="1"/>
    <col min="182" max="187" width="9" style="1"/>
    <col min="188" max="188" width="10.08984375" style="1" customWidth="1"/>
    <col min="189" max="191" width="9" style="1"/>
    <col min="192" max="192" width="9.6328125" style="1" customWidth="1"/>
    <col min="193" max="195" width="9" style="1"/>
    <col min="196" max="196" width="9.26953125" style="1" customWidth="1"/>
    <col min="197" max="197" width="10.6328125" style="1" customWidth="1"/>
    <col min="198" max="198" width="10.08984375" style="1" customWidth="1"/>
    <col min="199" max="199" width="9" style="1"/>
    <col min="200" max="200" width="10.36328125" style="1" customWidth="1"/>
    <col min="201" max="201" width="9.7265625" style="1" customWidth="1"/>
    <col min="202" max="202" width="10.08984375" style="1" customWidth="1"/>
    <col min="203" max="203" width="9.6328125" style="1" customWidth="1"/>
    <col min="204" max="204" width="10" style="1" customWidth="1"/>
    <col min="205" max="205" width="9" style="1"/>
    <col min="206" max="206" width="10.36328125" style="1" customWidth="1"/>
    <col min="207" max="207" width="9.7265625" style="1" customWidth="1"/>
    <col min="208" max="208" width="10.08984375" style="1" customWidth="1"/>
    <col min="209" max="209" width="9.6328125" style="1" customWidth="1"/>
    <col min="210" max="210" width="10" style="1" customWidth="1"/>
    <col min="211" max="211" width="9" style="1"/>
    <col min="212" max="212" width="10.36328125" style="1" customWidth="1"/>
    <col min="213" max="213" width="9.7265625" style="1" customWidth="1"/>
    <col min="214" max="214" width="10.08984375" style="1" customWidth="1"/>
    <col min="215" max="215" width="9.6328125" style="1" customWidth="1"/>
    <col min="216" max="216" width="10" style="1" customWidth="1"/>
    <col min="217" max="217" width="9" style="1"/>
    <col min="218" max="218" width="11.36328125" style="1" customWidth="1"/>
    <col min="219" max="221" width="9" style="1"/>
    <col min="222" max="222" width="10.36328125" style="1" customWidth="1"/>
    <col min="223" max="225" width="9" style="1"/>
    <col min="226" max="226" width="11.7265625" style="1" customWidth="1"/>
    <col min="227" max="16384" width="9" style="1"/>
  </cols>
  <sheetData>
    <row r="1" spans="1:246" ht="58.5" customHeight="1" thickBot="1" x14ac:dyDescent="0.35">
      <c r="A1" s="153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3" t="s">
        <v>27</v>
      </c>
      <c r="AC1" s="4" t="s">
        <v>28</v>
      </c>
      <c r="AD1" s="4" t="s">
        <v>29</v>
      </c>
      <c r="AE1" s="4" t="s">
        <v>30</v>
      </c>
      <c r="AF1" s="4" t="s">
        <v>31</v>
      </c>
      <c r="AG1" s="4" t="s">
        <v>32</v>
      </c>
      <c r="AH1" s="4" t="s">
        <v>33</v>
      </c>
      <c r="AI1" s="4" t="s">
        <v>34</v>
      </c>
      <c r="AJ1" s="4" t="s">
        <v>35</v>
      </c>
      <c r="AK1" s="4" t="s">
        <v>36</v>
      </c>
      <c r="AL1" s="4" t="s">
        <v>37</v>
      </c>
      <c r="AM1" s="3" t="s">
        <v>38</v>
      </c>
      <c r="AN1" s="4" t="s">
        <v>39</v>
      </c>
      <c r="AO1" s="4" t="s">
        <v>40</v>
      </c>
      <c r="AP1" s="4" t="s">
        <v>41</v>
      </c>
      <c r="AQ1" s="4" t="s">
        <v>42</v>
      </c>
      <c r="AR1" s="4" t="s">
        <v>43</v>
      </c>
      <c r="AS1" s="4" t="s">
        <v>44</v>
      </c>
      <c r="AT1" s="4" t="s">
        <v>45</v>
      </c>
      <c r="AU1" s="4" t="s">
        <v>46</v>
      </c>
      <c r="AV1" s="4" t="s">
        <v>47</v>
      </c>
      <c r="AW1" s="4" t="s">
        <v>48</v>
      </c>
      <c r="AX1" s="3" t="s">
        <v>49</v>
      </c>
      <c r="AY1" s="4" t="s">
        <v>50</v>
      </c>
      <c r="AZ1" s="4" t="s">
        <v>51</v>
      </c>
      <c r="BA1" s="4" t="s">
        <v>52</v>
      </c>
      <c r="BB1" s="4" t="s">
        <v>53</v>
      </c>
      <c r="BC1" s="4" t="s">
        <v>54</v>
      </c>
      <c r="BD1" s="4" t="s">
        <v>55</v>
      </c>
      <c r="BE1" s="4" t="s">
        <v>56</v>
      </c>
      <c r="BF1" s="4" t="s">
        <v>57</v>
      </c>
      <c r="BG1" s="4" t="s">
        <v>58</v>
      </c>
      <c r="BH1" s="4" t="s">
        <v>59</v>
      </c>
      <c r="BI1" s="3" t="s">
        <v>60</v>
      </c>
      <c r="BJ1" s="4" t="s">
        <v>61</v>
      </c>
      <c r="BK1" s="4" t="s">
        <v>62</v>
      </c>
      <c r="BL1" s="4" t="s">
        <v>63</v>
      </c>
      <c r="BM1" s="4" t="s">
        <v>64</v>
      </c>
      <c r="BN1" s="4" t="s">
        <v>65</v>
      </c>
      <c r="BO1" s="4" t="s">
        <v>66</v>
      </c>
      <c r="BP1" s="4" t="s">
        <v>67</v>
      </c>
      <c r="BQ1" s="4" t="s">
        <v>68</v>
      </c>
      <c r="BR1" s="4" t="s">
        <v>69</v>
      </c>
      <c r="BS1" s="4" t="s">
        <v>70</v>
      </c>
      <c r="BT1" s="4" t="s">
        <v>71</v>
      </c>
      <c r="BU1" s="4" t="s">
        <v>72</v>
      </c>
      <c r="BV1" s="4" t="s">
        <v>73</v>
      </c>
      <c r="BW1" s="4" t="s">
        <v>74</v>
      </c>
      <c r="BX1" s="4" t="s">
        <v>75</v>
      </c>
      <c r="BY1" s="4" t="s">
        <v>76</v>
      </c>
      <c r="BZ1" s="4" t="s">
        <v>77</v>
      </c>
      <c r="CA1" s="4" t="s">
        <v>78</v>
      </c>
      <c r="CB1" s="4" t="s">
        <v>79</v>
      </c>
      <c r="CC1" s="4" t="s">
        <v>80</v>
      </c>
      <c r="CD1" s="4" t="s">
        <v>81</v>
      </c>
      <c r="CE1" s="4" t="s">
        <v>82</v>
      </c>
      <c r="CF1" s="4" t="s">
        <v>83</v>
      </c>
      <c r="CG1" s="4" t="s">
        <v>84</v>
      </c>
      <c r="CH1" s="4" t="s">
        <v>85</v>
      </c>
      <c r="CI1" s="4" t="s">
        <v>86</v>
      </c>
      <c r="CJ1" s="4" t="s">
        <v>87</v>
      </c>
      <c r="CK1" s="4" t="s">
        <v>88</v>
      </c>
      <c r="CL1" s="4" t="s">
        <v>89</v>
      </c>
      <c r="CM1" s="4" t="s">
        <v>90</v>
      </c>
      <c r="CN1" s="4" t="s">
        <v>91</v>
      </c>
      <c r="CO1" s="4" t="s">
        <v>92</v>
      </c>
      <c r="CP1" s="4" t="s">
        <v>93</v>
      </c>
      <c r="CQ1" s="4" t="s">
        <v>94</v>
      </c>
      <c r="CR1" s="4" t="s">
        <v>95</v>
      </c>
      <c r="CS1" s="4" t="s">
        <v>96</v>
      </c>
      <c r="CT1" s="4" t="s">
        <v>97</v>
      </c>
      <c r="CU1" s="4" t="s">
        <v>98</v>
      </c>
      <c r="CV1" s="3" t="s">
        <v>99</v>
      </c>
      <c r="CW1" s="4" t="s">
        <v>100</v>
      </c>
      <c r="CX1" s="4" t="s">
        <v>101</v>
      </c>
      <c r="CY1" s="4" t="s">
        <v>102</v>
      </c>
      <c r="CZ1" s="4" t="s">
        <v>103</v>
      </c>
      <c r="DA1" s="4" t="s">
        <v>104</v>
      </c>
      <c r="DB1" s="4" t="s">
        <v>105</v>
      </c>
      <c r="DC1" s="4" t="s">
        <v>106</v>
      </c>
      <c r="DD1" s="4" t="s">
        <v>107</v>
      </c>
      <c r="DE1" s="4" t="s">
        <v>108</v>
      </c>
      <c r="DF1" s="4" t="s">
        <v>109</v>
      </c>
      <c r="DG1" s="3" t="s">
        <v>110</v>
      </c>
      <c r="DH1" s="4" t="s">
        <v>111</v>
      </c>
      <c r="DI1" s="4" t="s">
        <v>112</v>
      </c>
      <c r="DJ1" s="4" t="s">
        <v>113</v>
      </c>
      <c r="DK1" s="4" t="s">
        <v>114</v>
      </c>
      <c r="DL1" s="4" t="s">
        <v>115</v>
      </c>
      <c r="DM1" s="4" t="s">
        <v>116</v>
      </c>
      <c r="DN1" s="4" t="s">
        <v>117</v>
      </c>
      <c r="DO1" s="4" t="s">
        <v>118</v>
      </c>
      <c r="DP1" s="4" t="s">
        <v>119</v>
      </c>
      <c r="DQ1" s="4" t="s">
        <v>120</v>
      </c>
      <c r="DR1" s="3" t="s">
        <v>121</v>
      </c>
      <c r="DS1" s="4" t="s">
        <v>122</v>
      </c>
      <c r="DT1" s="4" t="s">
        <v>123</v>
      </c>
      <c r="DU1" s="4" t="s">
        <v>124</v>
      </c>
      <c r="DV1" s="4" t="s">
        <v>125</v>
      </c>
      <c r="DW1" s="4" t="s">
        <v>126</v>
      </c>
      <c r="DX1" s="4" t="s">
        <v>127</v>
      </c>
      <c r="DY1" s="4" t="s">
        <v>128</v>
      </c>
      <c r="DZ1" s="4" t="s">
        <v>129</v>
      </c>
      <c r="EA1" s="4" t="s">
        <v>130</v>
      </c>
      <c r="EB1" s="4" t="s">
        <v>131</v>
      </c>
      <c r="EC1" s="3" t="s">
        <v>132</v>
      </c>
      <c r="ED1" s="4" t="s">
        <v>133</v>
      </c>
      <c r="EE1" s="4" t="s">
        <v>134</v>
      </c>
      <c r="EF1" s="4" t="s">
        <v>135</v>
      </c>
      <c r="EG1" s="4" t="s">
        <v>136</v>
      </c>
      <c r="EH1" s="4" t="s">
        <v>137</v>
      </c>
      <c r="EI1" s="4" t="s">
        <v>138</v>
      </c>
      <c r="EJ1" s="4" t="s">
        <v>139</v>
      </c>
      <c r="EK1" s="4" t="s">
        <v>140</v>
      </c>
      <c r="EL1" s="4" t="s">
        <v>141</v>
      </c>
      <c r="EM1" s="4" t="s">
        <v>142</v>
      </c>
      <c r="EN1" s="4" t="s">
        <v>143</v>
      </c>
      <c r="EO1" s="4" t="s">
        <v>144</v>
      </c>
      <c r="EP1" s="4" t="s">
        <v>145</v>
      </c>
      <c r="EQ1" s="4" t="s">
        <v>146</v>
      </c>
      <c r="ER1" s="4" t="s">
        <v>147</v>
      </c>
      <c r="ES1" s="4" t="s">
        <v>148</v>
      </c>
      <c r="ET1" s="4" t="s">
        <v>149</v>
      </c>
      <c r="EU1" s="4" t="s">
        <v>150</v>
      </c>
      <c r="EV1" s="4" t="s">
        <v>151</v>
      </c>
      <c r="EW1" s="4" t="s">
        <v>152</v>
      </c>
      <c r="EX1" s="4" t="s">
        <v>153</v>
      </c>
      <c r="EY1" s="4" t="s">
        <v>154</v>
      </c>
      <c r="EZ1" s="4" t="s">
        <v>155</v>
      </c>
      <c r="FA1" s="4" t="s">
        <v>156</v>
      </c>
      <c r="FB1" s="5" t="s">
        <v>157</v>
      </c>
      <c r="FC1" s="5" t="s">
        <v>158</v>
      </c>
      <c r="FD1" s="5" t="s">
        <v>159</v>
      </c>
      <c r="FE1" s="5" t="s">
        <v>160</v>
      </c>
      <c r="FF1" s="5" t="s">
        <v>161</v>
      </c>
      <c r="FG1" s="5" t="s">
        <v>162</v>
      </c>
      <c r="FH1" s="5" t="s">
        <v>163</v>
      </c>
      <c r="FI1" s="5" t="s">
        <v>164</v>
      </c>
      <c r="FJ1" s="5" t="s">
        <v>165</v>
      </c>
      <c r="FK1" s="5" t="s">
        <v>166</v>
      </c>
      <c r="FL1" s="5" t="s">
        <v>167</v>
      </c>
      <c r="FM1" s="5" t="s">
        <v>168</v>
      </c>
      <c r="FN1" s="5" t="s">
        <v>169</v>
      </c>
      <c r="FO1" s="6" t="s">
        <v>170</v>
      </c>
      <c r="FP1" s="2" t="s">
        <v>171</v>
      </c>
      <c r="FQ1" s="2" t="s">
        <v>172</v>
      </c>
      <c r="FR1" s="2" t="s">
        <v>173</v>
      </c>
      <c r="FS1" s="2" t="s">
        <v>174</v>
      </c>
      <c r="FT1" s="2" t="s">
        <v>175</v>
      </c>
      <c r="FU1" s="2" t="s">
        <v>176</v>
      </c>
      <c r="FV1" s="7" t="s">
        <v>177</v>
      </c>
      <c r="FW1" s="7" t="s">
        <v>178</v>
      </c>
      <c r="FX1" s="6" t="s">
        <v>179</v>
      </c>
      <c r="FY1" s="2" t="s">
        <v>180</v>
      </c>
      <c r="FZ1" s="2" t="s">
        <v>181</v>
      </c>
      <c r="GA1" s="2" t="s">
        <v>182</v>
      </c>
      <c r="GB1" s="2" t="s">
        <v>183</v>
      </c>
      <c r="GC1" s="2" t="s">
        <v>184</v>
      </c>
      <c r="GD1" s="2" t="s">
        <v>185</v>
      </c>
      <c r="GE1" s="7" t="s">
        <v>186</v>
      </c>
      <c r="GF1" s="7" t="s">
        <v>187</v>
      </c>
      <c r="GG1" s="2" t="s">
        <v>188</v>
      </c>
      <c r="GH1" s="2" t="s">
        <v>189</v>
      </c>
      <c r="GI1" s="2" t="s">
        <v>190</v>
      </c>
      <c r="GJ1" s="2" t="s">
        <v>191</v>
      </c>
      <c r="GK1" s="2" t="s">
        <v>192</v>
      </c>
      <c r="GL1" s="2" t="s">
        <v>193</v>
      </c>
      <c r="GM1" s="2" t="s">
        <v>194</v>
      </c>
      <c r="GN1" s="2" t="s">
        <v>195</v>
      </c>
      <c r="GO1" s="2" t="s">
        <v>196</v>
      </c>
      <c r="GP1" s="8" t="s">
        <v>197</v>
      </c>
      <c r="GQ1" s="8" t="s">
        <v>198</v>
      </c>
      <c r="GR1" s="8" t="s">
        <v>199</v>
      </c>
      <c r="GS1" s="8" t="s">
        <v>200</v>
      </c>
      <c r="GT1" s="8" t="s">
        <v>201</v>
      </c>
      <c r="GU1" s="8" t="s">
        <v>202</v>
      </c>
      <c r="GV1" s="8" t="s">
        <v>203</v>
      </c>
      <c r="GW1" s="8" t="s">
        <v>204</v>
      </c>
      <c r="GX1" s="8" t="s">
        <v>205</v>
      </c>
      <c r="GY1" s="8" t="s">
        <v>206</v>
      </c>
      <c r="GZ1" s="8" t="s">
        <v>207</v>
      </c>
      <c r="HA1" s="8" t="s">
        <v>208</v>
      </c>
      <c r="HB1" s="8" t="s">
        <v>209</v>
      </c>
      <c r="HC1" s="8" t="s">
        <v>210</v>
      </c>
      <c r="HD1" s="8" t="s">
        <v>211</v>
      </c>
      <c r="HE1" s="8" t="s">
        <v>212</v>
      </c>
      <c r="HF1" s="8" t="s">
        <v>213</v>
      </c>
      <c r="HG1" s="8" t="s">
        <v>214</v>
      </c>
      <c r="HH1" s="8" t="s">
        <v>215</v>
      </c>
      <c r="HI1" s="8" t="s">
        <v>216</v>
      </c>
      <c r="HJ1" s="8" t="s">
        <v>217</v>
      </c>
      <c r="HK1" s="8" t="s">
        <v>218</v>
      </c>
      <c r="HL1" s="8" t="s">
        <v>219</v>
      </c>
      <c r="HM1" s="8" t="s">
        <v>220</v>
      </c>
      <c r="HN1" s="8" t="s">
        <v>221</v>
      </c>
      <c r="HO1" s="8" t="s">
        <v>222</v>
      </c>
      <c r="HP1" s="8" t="s">
        <v>223</v>
      </c>
      <c r="HQ1" s="8" t="s">
        <v>224</v>
      </c>
      <c r="HR1" s="8" t="s">
        <v>225</v>
      </c>
      <c r="HS1" s="8" t="s">
        <v>226</v>
      </c>
      <c r="HT1" s="8" t="s">
        <v>227</v>
      </c>
      <c r="HU1" s="8" t="s">
        <v>228</v>
      </c>
      <c r="HV1" s="8" t="s">
        <v>229</v>
      </c>
      <c r="HW1" s="8" t="s">
        <v>230</v>
      </c>
      <c r="HX1" s="8" t="s">
        <v>231</v>
      </c>
      <c r="HY1" s="9" t="s">
        <v>232</v>
      </c>
      <c r="HZ1" s="8" t="s">
        <v>233</v>
      </c>
      <c r="IA1" s="8" t="s">
        <v>234</v>
      </c>
      <c r="IB1" s="1" t="s">
        <v>235</v>
      </c>
      <c r="IC1" s="154" t="s">
        <v>420</v>
      </c>
    </row>
    <row r="2" spans="1:246" x14ac:dyDescent="0.25">
      <c r="A2" s="169">
        <v>43220.469814814816</v>
      </c>
      <c r="B2" s="168">
        <v>1</v>
      </c>
      <c r="C2" s="168"/>
      <c r="D2" s="168" t="s">
        <v>438</v>
      </c>
      <c r="E2" s="168">
        <v>4</v>
      </c>
      <c r="F2" s="168" t="s">
        <v>238</v>
      </c>
      <c r="G2" s="168" t="s">
        <v>441</v>
      </c>
      <c r="H2" s="168" t="s">
        <v>445</v>
      </c>
      <c r="I2" s="168" t="b">
        <v>1</v>
      </c>
      <c r="J2" s="168" t="b">
        <v>1</v>
      </c>
      <c r="K2" s="168" t="b">
        <v>1</v>
      </c>
      <c r="L2" s="168" t="b">
        <v>1</v>
      </c>
      <c r="M2" s="168" t="b">
        <v>1</v>
      </c>
      <c r="N2" s="168"/>
      <c r="O2" s="168" t="s">
        <v>239</v>
      </c>
      <c r="P2" s="168"/>
      <c r="Q2" s="170" t="s">
        <v>240</v>
      </c>
      <c r="R2" s="168"/>
      <c r="S2" s="170" t="s">
        <v>240</v>
      </c>
      <c r="T2" s="168">
        <v>62.5</v>
      </c>
      <c r="U2" s="168">
        <v>62.5</v>
      </c>
      <c r="V2" s="168" t="e">
        <v>#N/A</v>
      </c>
      <c r="W2" s="168" t="e">
        <v>#N/A</v>
      </c>
      <c r="X2" s="168" t="e">
        <v>#N/A</v>
      </c>
      <c r="Y2" s="168" t="e">
        <v>#N/A</v>
      </c>
      <c r="Z2" s="168" t="e">
        <v>#N/A</v>
      </c>
      <c r="AA2" s="168" t="e">
        <v>#N/A</v>
      </c>
      <c r="AB2" s="168"/>
      <c r="AC2" s="168"/>
      <c r="AD2" s="168">
        <v>55</v>
      </c>
      <c r="AE2" s="168"/>
      <c r="AF2" s="168">
        <v>60</v>
      </c>
      <c r="AG2" s="168"/>
      <c r="AH2" s="168">
        <v>70</v>
      </c>
      <c r="AI2" s="168"/>
      <c r="AJ2" s="168">
        <v>65</v>
      </c>
      <c r="AK2" s="168"/>
      <c r="AL2" s="168"/>
      <c r="AM2" s="168"/>
      <c r="AN2" s="168"/>
      <c r="AO2" s="168">
        <v>50</v>
      </c>
      <c r="AP2" s="168"/>
      <c r="AQ2" s="168">
        <v>70</v>
      </c>
      <c r="AR2" s="168"/>
      <c r="AS2" s="168">
        <v>60</v>
      </c>
      <c r="AT2" s="168"/>
      <c r="AU2" s="168">
        <v>70</v>
      </c>
      <c r="AV2" s="168"/>
      <c r="AW2" s="168"/>
      <c r="AX2" s="168"/>
      <c r="AY2" s="168"/>
      <c r="AZ2" s="168"/>
      <c r="BA2" s="168"/>
      <c r="BB2" s="168"/>
      <c r="BC2" s="168"/>
      <c r="BD2" s="168"/>
      <c r="BE2" s="168"/>
      <c r="BF2" s="168"/>
      <c r="BG2" s="168"/>
      <c r="BH2" s="168"/>
      <c r="BI2" s="168"/>
      <c r="BJ2" s="168"/>
      <c r="BK2" s="168"/>
      <c r="BL2" s="168"/>
      <c r="BM2" s="168"/>
      <c r="BN2" s="168"/>
      <c r="BO2" s="168"/>
      <c r="BP2" s="168"/>
      <c r="BQ2" s="168"/>
      <c r="BR2" s="168"/>
      <c r="BS2" s="168"/>
      <c r="BT2" s="168"/>
      <c r="BU2" s="168"/>
      <c r="BV2" s="168"/>
      <c r="BW2" s="168"/>
      <c r="BX2" s="168"/>
      <c r="BY2" s="168"/>
      <c r="BZ2" s="168"/>
      <c r="CA2" s="168">
        <v>40</v>
      </c>
      <c r="CB2" s="168"/>
      <c r="CC2" s="168">
        <v>55</v>
      </c>
      <c r="CD2" s="168"/>
      <c r="CE2" s="168">
        <v>70</v>
      </c>
      <c r="CF2" s="168"/>
      <c r="CG2" s="168"/>
      <c r="CH2" s="168"/>
      <c r="CI2" s="168"/>
      <c r="CJ2" s="168"/>
      <c r="CK2" s="168"/>
      <c r="CL2" s="168"/>
      <c r="CM2" s="168"/>
      <c r="CN2" s="168"/>
      <c r="CO2" s="168"/>
      <c r="CP2" s="168"/>
      <c r="CQ2" s="168"/>
      <c r="CR2" s="168"/>
      <c r="CS2" s="168"/>
      <c r="CT2" s="168"/>
      <c r="CU2" s="168"/>
      <c r="CV2" s="168"/>
      <c r="CW2" s="168"/>
      <c r="CX2" s="168"/>
      <c r="CY2" s="168"/>
      <c r="CZ2" s="168"/>
      <c r="DA2" s="168"/>
      <c r="DB2" s="168"/>
      <c r="DC2" s="168"/>
      <c r="DD2" s="168"/>
      <c r="DE2" s="168"/>
      <c r="DF2" s="168"/>
      <c r="DG2" s="168"/>
      <c r="DH2" s="168"/>
      <c r="DI2" s="168"/>
      <c r="DJ2" s="168"/>
      <c r="DK2" s="168"/>
      <c r="DL2" s="168"/>
      <c r="DM2" s="168"/>
      <c r="DN2" s="168"/>
      <c r="DO2" s="168"/>
      <c r="DP2" s="168"/>
      <c r="DQ2" s="168"/>
      <c r="DR2" s="168"/>
      <c r="DS2" s="168"/>
      <c r="DT2" s="168"/>
      <c r="DU2" s="168"/>
      <c r="DV2" s="168"/>
      <c r="DW2" s="168"/>
      <c r="DX2" s="168"/>
      <c r="DY2" s="168"/>
      <c r="DZ2" s="168"/>
      <c r="EA2" s="168"/>
      <c r="EB2" s="168"/>
      <c r="EC2" s="168"/>
      <c r="ED2" s="168"/>
      <c r="EE2" s="168"/>
      <c r="EF2" s="168"/>
      <c r="EG2" s="168"/>
      <c r="EH2" s="168"/>
      <c r="EI2" s="168"/>
      <c r="EJ2" s="168"/>
      <c r="EK2" s="168"/>
      <c r="EL2" s="168"/>
      <c r="EM2" s="168"/>
      <c r="EN2" s="168"/>
      <c r="EO2" s="168"/>
      <c r="EP2" s="168"/>
      <c r="EQ2" s="168"/>
      <c r="ER2" s="168"/>
      <c r="ES2" s="168"/>
      <c r="ET2" s="168"/>
      <c r="EU2" s="168"/>
      <c r="EV2" s="168"/>
      <c r="EW2" s="168"/>
      <c r="EX2" s="168"/>
      <c r="EY2" s="168"/>
      <c r="EZ2" s="168"/>
      <c r="FA2" s="168"/>
      <c r="FB2" s="168"/>
      <c r="FC2" s="168"/>
      <c r="FD2" s="168" t="s">
        <v>241</v>
      </c>
      <c r="FE2" s="168" t="s">
        <v>242</v>
      </c>
      <c r="FF2" s="168">
        <v>0.7</v>
      </c>
      <c r="FG2" s="168">
        <v>-130</v>
      </c>
      <c r="FH2" s="168">
        <v>0.3</v>
      </c>
      <c r="FI2" s="168"/>
      <c r="FJ2" s="168" t="s">
        <v>242</v>
      </c>
      <c r="FK2" s="168">
        <v>0.8</v>
      </c>
      <c r="FL2" s="168">
        <v>-120</v>
      </c>
      <c r="FM2" s="168">
        <v>0.4</v>
      </c>
      <c r="FN2" s="168"/>
      <c r="FO2" s="168" t="s">
        <v>243</v>
      </c>
      <c r="FP2" s="168" t="s">
        <v>243</v>
      </c>
      <c r="FQ2" s="168" t="s">
        <v>243</v>
      </c>
      <c r="FR2" s="168" t="s">
        <v>243</v>
      </c>
      <c r="FS2" s="168" t="s">
        <v>243</v>
      </c>
      <c r="FT2" s="168" t="s">
        <v>243</v>
      </c>
      <c r="FU2" s="168" t="s">
        <v>243</v>
      </c>
      <c r="FV2" s="168" t="s">
        <v>243</v>
      </c>
      <c r="FW2" s="168" t="s">
        <v>243</v>
      </c>
      <c r="FX2" s="168" t="s">
        <v>243</v>
      </c>
      <c r="FY2" s="168" t="s">
        <v>243</v>
      </c>
      <c r="FZ2" s="168" t="s">
        <v>243</v>
      </c>
      <c r="GA2" s="168" t="s">
        <v>243</v>
      </c>
      <c r="GB2" s="168" t="s">
        <v>243</v>
      </c>
      <c r="GC2" s="170" t="s">
        <v>243</v>
      </c>
      <c r="GD2" s="168" t="s">
        <v>243</v>
      </c>
      <c r="GE2" s="168" t="s">
        <v>243</v>
      </c>
      <c r="GF2" s="168" t="s">
        <v>243</v>
      </c>
      <c r="GG2" s="168" t="s">
        <v>244</v>
      </c>
      <c r="GH2" s="168" t="s">
        <v>244</v>
      </c>
      <c r="GI2" s="168" t="s">
        <v>244</v>
      </c>
      <c r="GJ2" s="168"/>
      <c r="GK2" s="168" t="s">
        <v>244</v>
      </c>
      <c r="GL2" s="168" t="s">
        <v>244</v>
      </c>
      <c r="GM2" s="168" t="s">
        <v>245</v>
      </c>
      <c r="GN2" s="168"/>
      <c r="GO2" s="168" t="s">
        <v>246</v>
      </c>
      <c r="GP2" s="168"/>
      <c r="GQ2" s="168"/>
      <c r="GR2" s="168"/>
      <c r="GS2" s="168"/>
      <c r="GT2" s="168"/>
      <c r="GU2" s="168"/>
      <c r="GV2" s="168"/>
      <c r="GW2" s="168"/>
      <c r="GX2" s="168"/>
      <c r="GY2" s="168"/>
      <c r="GZ2" s="168"/>
      <c r="HA2" s="168"/>
      <c r="HB2" s="168"/>
      <c r="HC2" s="168"/>
      <c r="HD2" s="168"/>
      <c r="HE2" s="168"/>
      <c r="HF2" s="168"/>
      <c r="HG2" s="168"/>
      <c r="HH2" s="168"/>
      <c r="HI2" s="168"/>
      <c r="HJ2" s="168"/>
      <c r="HK2" s="168"/>
      <c r="HL2" s="168"/>
      <c r="HM2" s="168"/>
      <c r="HN2" s="168"/>
      <c r="HO2" s="168"/>
      <c r="HP2" s="168"/>
      <c r="HQ2" s="168"/>
      <c r="HR2" s="168"/>
      <c r="HS2" s="168" t="str">
        <f t="shared" ref="HS2:HS5" si="0">_xlfn.IFS(ISTEXT(Q2),Q2,VALUE(HU2)&lt;=20,"Normal",HU2-HW2&lt;=15,"SNHL",VALUE(HW2)&lt;=20,"CHL",AND(NOT(ISNUMBER(V2)),VALUE(HW2)&gt;=60),"SNHL",HU2-HW2&gt;15,"Mixed")</f>
        <v>SNHL</v>
      </c>
      <c r="HT2" s="168" t="str">
        <f t="shared" ref="HT2:HT5" si="1">_xlfn.IFS(ISTEXT(S2),S2,VALUE(HV2)&lt;=20,"Normal",HV2-HX2&lt;=15,"SNHL",VALUE(HX2)&lt;=20,"CHL",AND(NOT(ISNUMBER(W2)),VALUE(HX2)&gt;=60),"SNHL",HV2-HX2&gt;15,"Mixed")</f>
        <v>SNHL</v>
      </c>
      <c r="HU2" s="168" t="str">
        <f>LEFT(T2,SUM(LEN(T2)-LEN(SUBSTITUTE(T2,{".","0","1","2","3","4","5","6","7","8","9"},""))))</f>
        <v>62.5</v>
      </c>
      <c r="HV2" s="168" t="str">
        <f>LEFT(U2,SUM(LEN(U2)-LEN(SUBSTITUTE(U2,{".","0","1","2","3","4","5","6","7","8","9"},""))))</f>
        <v>62.5</v>
      </c>
      <c r="HW2" s="168" t="e">
        <f>LEFT(V2,SUM(LEN(V2)-LEN(SUBSTITUTE(V2,{".","0","1","2","3","4","5","6","7","8","9"},""))))</f>
        <v>#N/A</v>
      </c>
      <c r="HX2" s="168" t="e">
        <f>LEFT(W2,SUM(LEN(W2)-LEN(SUBSTITUTE(W2,{".","0","1","2","3","4","5","6","7","8","9"},""))))</f>
        <v>#N/A</v>
      </c>
      <c r="HY2" s="10" t="str">
        <f t="shared" ref="HY2:HY5" si="2">IF(HU2&lt;HV2,HU2,HV2)</f>
        <v>62.5</v>
      </c>
      <c r="HZ2" s="168">
        <f>IF(E2&lt;=18,INDEX($IE$3:$IE$5,MATCH(VALUE(HY2),$ID$3:$ID$5,1)),INDEX($IE$3:$IE$5,MATCH(VALUE(HY2),$IF$3:$IF$5,1)))</f>
        <v>2</v>
      </c>
      <c r="IA2" s="168" t="str">
        <f t="shared" ref="IA2:IA5" si="3">IF(HU2&lt;HV2,HS2,HT2)</f>
        <v>SNHL</v>
      </c>
      <c r="IB2" s="164">
        <f>COUNTIF($B$2:B3,B2)</f>
        <v>1</v>
      </c>
      <c r="IC2" s="168" t="str">
        <f t="shared" ref="IC2:IC5" si="4">IF(ISNUMBER(SEARCH("Preop",O2)),"PREOP",IF(ISNUMBER(SEARCH("Postop",O2)),"POSTOP",""))</f>
        <v/>
      </c>
      <c r="ID2" s="1" t="s">
        <v>236</v>
      </c>
      <c r="IE2" s="1" t="s">
        <v>425</v>
      </c>
      <c r="IF2" s="1" t="s">
        <v>237</v>
      </c>
    </row>
    <row r="3" spans="1:246" x14ac:dyDescent="0.25">
      <c r="A3" s="169">
        <v>43220.469814814816</v>
      </c>
      <c r="B3" s="168">
        <v>2</v>
      </c>
      <c r="C3" s="168"/>
      <c r="D3" s="168" t="s">
        <v>439</v>
      </c>
      <c r="E3" s="168">
        <v>999</v>
      </c>
      <c r="F3" s="168" t="s">
        <v>238</v>
      </c>
      <c r="G3" s="168" t="s">
        <v>442</v>
      </c>
      <c r="H3" s="168" t="s">
        <v>445</v>
      </c>
      <c r="I3" s="168" t="b">
        <v>1</v>
      </c>
      <c r="J3" s="168" t="b">
        <v>1</v>
      </c>
      <c r="K3" s="168" t="b">
        <v>1</v>
      </c>
      <c r="L3" s="168" t="b">
        <v>1</v>
      </c>
      <c r="M3" s="168" t="b">
        <v>1</v>
      </c>
      <c r="N3" s="168"/>
      <c r="O3" s="168" t="s">
        <v>239</v>
      </c>
      <c r="P3" s="168"/>
      <c r="Q3" s="170" t="s">
        <v>240</v>
      </c>
      <c r="R3" s="168"/>
      <c r="S3" s="170" t="s">
        <v>240</v>
      </c>
      <c r="T3" s="168">
        <v>62.5</v>
      </c>
      <c r="U3" s="168">
        <v>62.5</v>
      </c>
      <c r="V3" s="168" t="e">
        <v>#N/A</v>
      </c>
      <c r="W3" s="168" t="e">
        <v>#N/A</v>
      </c>
      <c r="X3" s="168" t="e">
        <v>#N/A</v>
      </c>
      <c r="Y3" s="168" t="e">
        <v>#N/A</v>
      </c>
      <c r="Z3" s="168" t="e">
        <v>#N/A</v>
      </c>
      <c r="AA3" s="168" t="e">
        <v>#N/A</v>
      </c>
      <c r="AB3" s="168"/>
      <c r="AC3" s="168"/>
      <c r="AD3" s="168">
        <v>55</v>
      </c>
      <c r="AE3" s="168"/>
      <c r="AF3" s="168">
        <v>60</v>
      </c>
      <c r="AG3" s="168"/>
      <c r="AH3" s="168">
        <v>70</v>
      </c>
      <c r="AI3" s="168"/>
      <c r="AJ3" s="168">
        <v>65</v>
      </c>
      <c r="AK3" s="168"/>
      <c r="AL3" s="168"/>
      <c r="AM3" s="168"/>
      <c r="AN3" s="168"/>
      <c r="AO3" s="168">
        <v>50</v>
      </c>
      <c r="AP3" s="168"/>
      <c r="AQ3" s="168">
        <v>70</v>
      </c>
      <c r="AR3" s="168"/>
      <c r="AS3" s="168">
        <v>60</v>
      </c>
      <c r="AT3" s="168"/>
      <c r="AU3" s="168">
        <v>70</v>
      </c>
      <c r="AV3" s="168"/>
      <c r="AW3" s="168"/>
      <c r="AX3" s="168"/>
      <c r="AY3" s="168"/>
      <c r="AZ3" s="168"/>
      <c r="BA3" s="168"/>
      <c r="BB3" s="168"/>
      <c r="BC3" s="168"/>
      <c r="BD3" s="168"/>
      <c r="BE3" s="168"/>
      <c r="BF3" s="168"/>
      <c r="BG3" s="168"/>
      <c r="BH3" s="168"/>
      <c r="BI3" s="168"/>
      <c r="BJ3" s="168"/>
      <c r="BK3" s="168"/>
      <c r="BL3" s="168"/>
      <c r="BM3" s="168"/>
      <c r="BN3" s="168"/>
      <c r="BO3" s="168"/>
      <c r="BP3" s="168"/>
      <c r="BQ3" s="168"/>
      <c r="BR3" s="168"/>
      <c r="BS3" s="168"/>
      <c r="BT3" s="168"/>
      <c r="BU3" s="168"/>
      <c r="BV3" s="168"/>
      <c r="BW3" s="168"/>
      <c r="BX3" s="168"/>
      <c r="BY3" s="168"/>
      <c r="BZ3" s="168"/>
      <c r="CA3" s="168">
        <v>40</v>
      </c>
      <c r="CB3" s="168"/>
      <c r="CC3" s="168">
        <v>55</v>
      </c>
      <c r="CD3" s="168"/>
      <c r="CE3" s="168">
        <v>70</v>
      </c>
      <c r="CF3" s="168"/>
      <c r="CG3" s="168"/>
      <c r="CH3" s="168"/>
      <c r="CI3" s="168"/>
      <c r="CJ3" s="168"/>
      <c r="CK3" s="168"/>
      <c r="CL3" s="168"/>
      <c r="CM3" s="168"/>
      <c r="CN3" s="168"/>
      <c r="CO3" s="168"/>
      <c r="CP3" s="168"/>
      <c r="CQ3" s="168"/>
      <c r="CR3" s="168"/>
      <c r="CS3" s="168"/>
      <c r="CT3" s="168"/>
      <c r="CU3" s="168"/>
      <c r="CV3" s="168"/>
      <c r="CW3" s="168"/>
      <c r="CX3" s="168"/>
      <c r="CY3" s="168"/>
      <c r="CZ3" s="168"/>
      <c r="DA3" s="168"/>
      <c r="DB3" s="168"/>
      <c r="DC3" s="168"/>
      <c r="DD3" s="168"/>
      <c r="DE3" s="168"/>
      <c r="DF3" s="168"/>
      <c r="DG3" s="168"/>
      <c r="DH3" s="168"/>
      <c r="DI3" s="168"/>
      <c r="DJ3" s="168"/>
      <c r="DK3" s="168"/>
      <c r="DL3" s="168"/>
      <c r="DM3" s="168"/>
      <c r="DN3" s="168"/>
      <c r="DO3" s="168"/>
      <c r="DP3" s="168"/>
      <c r="DQ3" s="168"/>
      <c r="DR3" s="168"/>
      <c r="DS3" s="168"/>
      <c r="DT3" s="168"/>
      <c r="DU3" s="168"/>
      <c r="DV3" s="168"/>
      <c r="DW3" s="168"/>
      <c r="DX3" s="168"/>
      <c r="DY3" s="168"/>
      <c r="DZ3" s="168"/>
      <c r="EA3" s="168"/>
      <c r="EB3" s="168"/>
      <c r="EC3" s="168"/>
      <c r="ED3" s="168"/>
      <c r="EE3" s="168"/>
      <c r="EF3" s="168"/>
      <c r="EG3" s="168"/>
      <c r="EH3" s="168"/>
      <c r="EI3" s="168"/>
      <c r="EJ3" s="168"/>
      <c r="EK3" s="168"/>
      <c r="EL3" s="168"/>
      <c r="EM3" s="168"/>
      <c r="EN3" s="168"/>
      <c r="EO3" s="168"/>
      <c r="EP3" s="168"/>
      <c r="EQ3" s="168"/>
      <c r="ER3" s="168"/>
      <c r="ES3" s="168"/>
      <c r="ET3" s="168"/>
      <c r="EU3" s="168"/>
      <c r="EV3" s="168"/>
      <c r="EW3" s="168"/>
      <c r="EX3" s="168"/>
      <c r="EY3" s="168"/>
      <c r="EZ3" s="168"/>
      <c r="FA3" s="168"/>
      <c r="FB3" s="168"/>
      <c r="FC3" s="168"/>
      <c r="FD3" s="168" t="s">
        <v>241</v>
      </c>
      <c r="FE3" s="168" t="s">
        <v>242</v>
      </c>
      <c r="FF3" s="168">
        <v>0.7</v>
      </c>
      <c r="FG3" s="168">
        <v>-130</v>
      </c>
      <c r="FH3" s="168">
        <v>0.3</v>
      </c>
      <c r="FI3" s="168"/>
      <c r="FJ3" s="168" t="s">
        <v>242</v>
      </c>
      <c r="FK3" s="168">
        <v>0.8</v>
      </c>
      <c r="FL3" s="168">
        <v>-120</v>
      </c>
      <c r="FM3" s="168">
        <v>0.4</v>
      </c>
      <c r="FN3" s="168"/>
      <c r="FO3" s="168" t="s">
        <v>243</v>
      </c>
      <c r="FP3" s="168" t="s">
        <v>243</v>
      </c>
      <c r="FQ3" s="168" t="s">
        <v>243</v>
      </c>
      <c r="FR3" s="168" t="s">
        <v>243</v>
      </c>
      <c r="FS3" s="168" t="s">
        <v>243</v>
      </c>
      <c r="FT3" s="168" t="s">
        <v>243</v>
      </c>
      <c r="FU3" s="168" t="s">
        <v>243</v>
      </c>
      <c r="FV3" s="168" t="s">
        <v>243</v>
      </c>
      <c r="FW3" s="168" t="s">
        <v>243</v>
      </c>
      <c r="FX3" s="168" t="s">
        <v>243</v>
      </c>
      <c r="FY3" s="168" t="s">
        <v>243</v>
      </c>
      <c r="FZ3" s="168" t="s">
        <v>243</v>
      </c>
      <c r="GA3" s="168" t="s">
        <v>243</v>
      </c>
      <c r="GB3" s="168" t="s">
        <v>243</v>
      </c>
      <c r="GC3" s="170" t="s">
        <v>243</v>
      </c>
      <c r="GD3" s="168" t="s">
        <v>243</v>
      </c>
      <c r="GE3" s="168" t="s">
        <v>243</v>
      </c>
      <c r="GF3" s="168" t="s">
        <v>243</v>
      </c>
      <c r="GG3" s="168" t="s">
        <v>244</v>
      </c>
      <c r="GH3" s="168" t="s">
        <v>244</v>
      </c>
      <c r="GI3" s="168" t="s">
        <v>244</v>
      </c>
      <c r="GJ3" s="168"/>
      <c r="GK3" s="168" t="s">
        <v>244</v>
      </c>
      <c r="GL3" s="168" t="s">
        <v>244</v>
      </c>
      <c r="GM3" s="168" t="s">
        <v>245</v>
      </c>
      <c r="GN3" s="168"/>
      <c r="GO3" s="168" t="s">
        <v>246</v>
      </c>
      <c r="GP3" s="168"/>
      <c r="GQ3" s="168"/>
      <c r="GR3" s="168"/>
      <c r="GS3" s="168"/>
      <c r="GT3" s="168"/>
      <c r="GU3" s="168"/>
      <c r="GV3" s="168"/>
      <c r="GW3" s="168"/>
      <c r="GX3" s="168"/>
      <c r="GY3" s="168"/>
      <c r="GZ3" s="168"/>
      <c r="HA3" s="168"/>
      <c r="HB3" s="168"/>
      <c r="HC3" s="168"/>
      <c r="HD3" s="168"/>
      <c r="HE3" s="168"/>
      <c r="HF3" s="168"/>
      <c r="HG3" s="168"/>
      <c r="HH3" s="168"/>
      <c r="HI3" s="168"/>
      <c r="HJ3" s="168"/>
      <c r="HK3" s="168"/>
      <c r="HL3" s="168"/>
      <c r="HM3" s="168"/>
      <c r="HN3" s="168"/>
      <c r="HO3" s="168"/>
      <c r="HP3" s="168"/>
      <c r="HQ3" s="168"/>
      <c r="HR3" s="168"/>
      <c r="HS3" s="168" t="str">
        <f t="shared" si="0"/>
        <v>SNHL</v>
      </c>
      <c r="HT3" s="168" t="str">
        <f t="shared" si="1"/>
        <v>SNHL</v>
      </c>
      <c r="HU3" s="168" t="str">
        <f>LEFT(T3,SUM(LEN(T3)-LEN(SUBSTITUTE(T3,{".","0","1","2","3","4","5","6","7","8","9"},""))))</f>
        <v>62.5</v>
      </c>
      <c r="HV3" s="168" t="str">
        <f>LEFT(U3,SUM(LEN(U3)-LEN(SUBSTITUTE(U3,{".","0","1","2","3","4","5","6","7","8","9"},""))))</f>
        <v>62.5</v>
      </c>
      <c r="HW3" s="168" t="e">
        <f>LEFT(V3,SUM(LEN(V3)-LEN(SUBSTITUTE(V3,{".","0","1","2","3","4","5","6","7","8","9"},""))))</f>
        <v>#N/A</v>
      </c>
      <c r="HX3" s="168" t="e">
        <f>LEFT(W3,SUM(LEN(W3)-LEN(SUBSTITUTE(W3,{".","0","1","2","3","4","5","6","7","8","9"},""))))</f>
        <v>#N/A</v>
      </c>
      <c r="HY3" s="10" t="str">
        <f t="shared" si="2"/>
        <v>62.5</v>
      </c>
      <c r="HZ3" s="168">
        <f>IF(E3&lt;=18,INDEX($IE$3:$IE$5,MATCH(VALUE(HY3),$ID$3:$ID$5,1)),INDEX($IE$3:$IE$5,MATCH(VALUE(HY3),$IF$3:$IF$5,1)))</f>
        <v>2</v>
      </c>
      <c r="IA3" s="168" t="str">
        <f t="shared" si="3"/>
        <v>SNHL</v>
      </c>
      <c r="IB3" s="164">
        <f>COUNTIF($B1:B$5,B3)</f>
        <v>1</v>
      </c>
      <c r="IC3" s="168" t="str">
        <f t="shared" si="4"/>
        <v/>
      </c>
      <c r="ID3" s="1">
        <v>-10</v>
      </c>
      <c r="IE3" s="1">
        <v>0</v>
      </c>
      <c r="IF3" s="1">
        <v>-10</v>
      </c>
      <c r="IG3" s="1">
        <v>0</v>
      </c>
      <c r="IH3" s="1" t="s">
        <v>247</v>
      </c>
      <c r="II3" s="1" t="s">
        <v>248</v>
      </c>
      <c r="IK3" s="1">
        <v>0</v>
      </c>
      <c r="IL3" s="1" t="s">
        <v>249</v>
      </c>
    </row>
    <row r="4" spans="1:246" x14ac:dyDescent="0.25">
      <c r="A4" s="169">
        <v>43221.416087962964</v>
      </c>
      <c r="B4" s="168">
        <v>3</v>
      </c>
      <c r="C4" s="168"/>
      <c r="D4" s="168" t="s">
        <v>440</v>
      </c>
      <c r="E4" s="168">
        <v>24</v>
      </c>
      <c r="F4" s="168" t="s">
        <v>250</v>
      </c>
      <c r="G4" s="168" t="s">
        <v>443</v>
      </c>
      <c r="H4" s="168" t="s">
        <v>445</v>
      </c>
      <c r="I4" s="168" t="b">
        <v>0</v>
      </c>
      <c r="J4" s="168" t="b">
        <v>1</v>
      </c>
      <c r="K4" s="168"/>
      <c r="L4" s="168"/>
      <c r="M4" s="168"/>
      <c r="N4" s="168"/>
      <c r="O4" s="168" t="s">
        <v>251</v>
      </c>
      <c r="P4" s="168"/>
      <c r="Q4" s="168"/>
      <c r="R4" s="168"/>
      <c r="S4" s="168"/>
      <c r="T4" s="168" t="e">
        <v>#N/A</v>
      </c>
      <c r="U4" s="168" t="e">
        <v>#N/A</v>
      </c>
      <c r="V4" s="168" t="e">
        <v>#N/A</v>
      </c>
      <c r="W4" s="168" t="e">
        <v>#N/A</v>
      </c>
      <c r="X4" s="168" t="e">
        <v>#N/A</v>
      </c>
      <c r="Y4" s="168" t="e">
        <v>#N/A</v>
      </c>
      <c r="Z4" s="168" t="e">
        <v>#N/A</v>
      </c>
      <c r="AA4" s="168" t="e">
        <v>#N/A</v>
      </c>
      <c r="AB4" s="168"/>
      <c r="AC4" s="168"/>
      <c r="AD4" s="168"/>
      <c r="AE4" s="168"/>
      <c r="AF4" s="168"/>
      <c r="AG4" s="168"/>
      <c r="AH4" s="168"/>
      <c r="AI4" s="168"/>
      <c r="AJ4" s="168"/>
      <c r="AK4" s="168"/>
      <c r="AL4" s="168"/>
      <c r="AM4" s="168"/>
      <c r="AN4" s="168"/>
      <c r="AO4" s="168"/>
      <c r="AP4" s="168"/>
      <c r="AQ4" s="168"/>
      <c r="AR4" s="168"/>
      <c r="AS4" s="168"/>
      <c r="AT4" s="168"/>
      <c r="AU4" s="168"/>
      <c r="AV4" s="168"/>
      <c r="AW4" s="168"/>
      <c r="AX4" s="168"/>
      <c r="AY4" s="168"/>
      <c r="AZ4" s="168"/>
      <c r="BA4" s="168"/>
      <c r="BB4" s="168"/>
      <c r="BC4" s="168"/>
      <c r="BD4" s="168"/>
      <c r="BE4" s="168"/>
      <c r="BF4" s="168"/>
      <c r="BG4" s="168"/>
      <c r="BH4" s="168"/>
      <c r="BI4" s="168"/>
      <c r="BJ4" s="168"/>
      <c r="BK4" s="168"/>
      <c r="BL4" s="168"/>
      <c r="BM4" s="168"/>
      <c r="BN4" s="168"/>
      <c r="BO4" s="168"/>
      <c r="BP4" s="168"/>
      <c r="BQ4" s="168"/>
      <c r="BR4" s="168"/>
      <c r="BS4" s="168"/>
      <c r="BT4" s="168"/>
      <c r="BU4" s="168"/>
      <c r="BV4" s="168"/>
      <c r="BW4" s="168"/>
      <c r="BX4" s="168"/>
      <c r="BY4" s="168"/>
      <c r="BZ4" s="168"/>
      <c r="CA4" s="168"/>
      <c r="CB4" s="168"/>
      <c r="CC4" s="168"/>
      <c r="CD4" s="168"/>
      <c r="CE4" s="168"/>
      <c r="CF4" s="168"/>
      <c r="CG4" s="168"/>
      <c r="CH4" s="168"/>
      <c r="CI4" s="168"/>
      <c r="CJ4" s="168"/>
      <c r="CK4" s="168"/>
      <c r="CL4" s="168"/>
      <c r="CM4" s="168"/>
      <c r="CN4" s="168"/>
      <c r="CO4" s="168"/>
      <c r="CP4" s="168"/>
      <c r="CQ4" s="168"/>
      <c r="CR4" s="168"/>
      <c r="CS4" s="168"/>
      <c r="CT4" s="168"/>
      <c r="CU4" s="168"/>
      <c r="CV4" s="168"/>
      <c r="CW4" s="168"/>
      <c r="CX4" s="168"/>
      <c r="CY4" s="168"/>
      <c r="CZ4" s="168"/>
      <c r="DA4" s="168"/>
      <c r="DB4" s="168"/>
      <c r="DC4" s="168"/>
      <c r="DD4" s="168"/>
      <c r="DE4" s="168"/>
      <c r="DF4" s="168"/>
      <c r="DG4" s="168"/>
      <c r="DH4" s="168"/>
      <c r="DI4" s="168"/>
      <c r="DJ4" s="168"/>
      <c r="DK4" s="168"/>
      <c r="DL4" s="168"/>
      <c r="DM4" s="168"/>
      <c r="DN4" s="168"/>
      <c r="DO4" s="168"/>
      <c r="DP4" s="168"/>
      <c r="DQ4" s="168"/>
      <c r="DR4" s="168"/>
      <c r="DS4" s="168"/>
      <c r="DT4" s="168"/>
      <c r="DU4" s="168"/>
      <c r="DV4" s="168"/>
      <c r="DW4" s="168"/>
      <c r="DX4" s="168"/>
      <c r="DY4" s="168"/>
      <c r="DZ4" s="168"/>
      <c r="EA4" s="168"/>
      <c r="EB4" s="168"/>
      <c r="EC4" s="168"/>
      <c r="ED4" s="168"/>
      <c r="EE4" s="168"/>
      <c r="EF4" s="168"/>
      <c r="EG4" s="168"/>
      <c r="EH4" s="168"/>
      <c r="EI4" s="168"/>
      <c r="EJ4" s="168"/>
      <c r="EK4" s="168"/>
      <c r="EL4" s="168"/>
      <c r="EM4" s="168"/>
      <c r="EN4" s="168"/>
      <c r="EO4" s="168"/>
      <c r="EP4" s="168"/>
      <c r="EQ4" s="168"/>
      <c r="ER4" s="168"/>
      <c r="ES4" s="168"/>
      <c r="ET4" s="168"/>
      <c r="EU4" s="168"/>
      <c r="EV4" s="168"/>
      <c r="EW4" s="168"/>
      <c r="EX4" s="168"/>
      <c r="EY4" s="168"/>
      <c r="EZ4" s="168"/>
      <c r="FA4" s="168"/>
      <c r="FB4" s="168"/>
      <c r="FC4" s="168"/>
      <c r="FD4" s="168" t="s">
        <v>252</v>
      </c>
      <c r="FE4" s="168" t="s">
        <v>253</v>
      </c>
      <c r="FF4" s="168"/>
      <c r="FG4" s="168">
        <v>-10</v>
      </c>
      <c r="FH4" s="168">
        <v>3.2</v>
      </c>
      <c r="FI4" s="168"/>
      <c r="FJ4" s="168" t="s">
        <v>253</v>
      </c>
      <c r="FK4" s="168"/>
      <c r="FL4" s="168">
        <v>10</v>
      </c>
      <c r="FM4" s="168">
        <v>1</v>
      </c>
      <c r="FN4" s="168"/>
      <c r="FO4" s="168"/>
      <c r="FP4" s="168"/>
      <c r="FQ4" s="168"/>
      <c r="FR4" s="168"/>
      <c r="FS4" s="168"/>
      <c r="FT4" s="168"/>
      <c r="FU4" s="168"/>
      <c r="FV4" s="168"/>
      <c r="FW4" s="168"/>
      <c r="FX4" s="168"/>
      <c r="FY4" s="168"/>
      <c r="FZ4" s="168"/>
      <c r="GA4" s="168"/>
      <c r="GB4" s="168"/>
      <c r="GC4" s="170"/>
      <c r="GD4" s="168"/>
      <c r="GE4" s="168"/>
      <c r="GF4" s="168"/>
      <c r="GG4" s="168"/>
      <c r="GH4" s="168"/>
      <c r="GI4" s="168"/>
      <c r="GJ4" s="168"/>
      <c r="GK4" s="168"/>
      <c r="GL4" s="168"/>
      <c r="GM4" s="168"/>
      <c r="GN4" s="168"/>
      <c r="GO4" s="168" t="s">
        <v>246</v>
      </c>
      <c r="GP4" s="168"/>
      <c r="GQ4" s="168"/>
      <c r="GR4" s="168"/>
      <c r="GS4" s="168"/>
      <c r="GT4" s="168"/>
      <c r="GU4" s="168"/>
      <c r="GV4" s="168"/>
      <c r="GW4" s="168"/>
      <c r="GX4" s="168"/>
      <c r="GY4" s="168"/>
      <c r="GZ4" s="168"/>
      <c r="HA4" s="168"/>
      <c r="HB4" s="168"/>
      <c r="HC4" s="168"/>
      <c r="HD4" s="168"/>
      <c r="HE4" s="168"/>
      <c r="HF4" s="168"/>
      <c r="HG4" s="168"/>
      <c r="HH4" s="168"/>
      <c r="HI4" s="168"/>
      <c r="HJ4" s="168"/>
      <c r="HK4" s="168"/>
      <c r="HL4" s="168"/>
      <c r="HM4" s="168"/>
      <c r="HN4" s="168"/>
      <c r="HO4" s="168"/>
      <c r="HP4" s="168"/>
      <c r="HQ4" s="168"/>
      <c r="HR4" s="168"/>
      <c r="HS4" s="168" t="e">
        <f t="shared" si="0"/>
        <v>#N/A</v>
      </c>
      <c r="HT4" s="168" t="e">
        <f t="shared" si="1"/>
        <v>#N/A</v>
      </c>
      <c r="HU4" s="168" t="e">
        <f>LEFT(T4,SUM(LEN(T4)-LEN(SUBSTITUTE(T4,{".","0","1","2","3","4","5","6","7","8","9"},""))))</f>
        <v>#N/A</v>
      </c>
      <c r="HV4" s="168" t="e">
        <f>LEFT(U4,SUM(LEN(U4)-LEN(SUBSTITUTE(U4,{".","0","1","2","3","4","5","6","7","8","9"},""))))</f>
        <v>#N/A</v>
      </c>
      <c r="HW4" s="168" t="e">
        <f>LEFT(V4,SUM(LEN(V4)-LEN(SUBSTITUTE(V4,{".","0","1","2","3","4","5","6","7","8","9"},""))))</f>
        <v>#N/A</v>
      </c>
      <c r="HX4" s="168" t="e">
        <f>LEFT(W4,SUM(LEN(W4)-LEN(SUBSTITUTE(W4,{".","0","1","2","3","4","5","6","7","8","9"},""))))</f>
        <v>#N/A</v>
      </c>
      <c r="HY4" s="10" t="e">
        <f t="shared" si="2"/>
        <v>#N/A</v>
      </c>
      <c r="HZ4" s="168" t="e">
        <f>IF(E4&lt;=18,INDEX($IE$3:$IE$5,MATCH(VALUE(HY4),$ID$3:$ID$5,1)),INDEX($IE$3:$IE$5,MATCH(VALUE(HY4),$IF$3:$IF$5,1)))</f>
        <v>#N/A</v>
      </c>
      <c r="IA4" s="168" t="e">
        <f t="shared" si="3"/>
        <v>#N/A</v>
      </c>
      <c r="IB4" s="164">
        <f>COUNTIF($B$3:B4,B4)</f>
        <v>1</v>
      </c>
      <c r="IC4" s="168" t="str">
        <f t="shared" si="4"/>
        <v/>
      </c>
      <c r="ID4" s="1">
        <v>26</v>
      </c>
      <c r="IE4" s="1">
        <v>1</v>
      </c>
      <c r="IF4" s="1">
        <v>26</v>
      </c>
      <c r="IG4" s="1">
        <v>1</v>
      </c>
      <c r="IH4" s="1" t="s">
        <v>254</v>
      </c>
      <c r="II4" s="1" t="s">
        <v>255</v>
      </c>
      <c r="IJ4" s="1" t="s">
        <v>256</v>
      </c>
      <c r="IK4" s="1">
        <v>1</v>
      </c>
      <c r="IL4" s="1" t="s">
        <v>257</v>
      </c>
    </row>
    <row r="5" spans="1:246" ht="13" x14ac:dyDescent="0.3">
      <c r="A5" s="169">
        <v>43221.428124999999</v>
      </c>
      <c r="B5" s="168">
        <v>4</v>
      </c>
      <c r="C5" s="168"/>
      <c r="D5" s="168" t="s">
        <v>437</v>
      </c>
      <c r="E5" s="168">
        <v>81</v>
      </c>
      <c r="F5" s="170" t="s">
        <v>250</v>
      </c>
      <c r="G5" s="168" t="s">
        <v>444</v>
      </c>
      <c r="H5" s="168" t="s">
        <v>446</v>
      </c>
      <c r="I5" s="168" t="b">
        <v>1</v>
      </c>
      <c r="J5" s="168"/>
      <c r="K5" s="168"/>
      <c r="L5" s="168"/>
      <c r="M5" s="168"/>
      <c r="N5" s="168"/>
      <c r="O5" s="168" t="s">
        <v>258</v>
      </c>
      <c r="P5" s="168" t="s">
        <v>259</v>
      </c>
      <c r="Q5" s="168" t="s">
        <v>240</v>
      </c>
      <c r="R5" s="168" t="s">
        <v>260</v>
      </c>
      <c r="S5" s="168" t="s">
        <v>240</v>
      </c>
      <c r="T5" s="168">
        <v>61.25</v>
      </c>
      <c r="U5" s="168">
        <v>55</v>
      </c>
      <c r="V5" s="168">
        <v>55</v>
      </c>
      <c r="W5" s="168">
        <v>55</v>
      </c>
      <c r="X5" s="168">
        <v>60</v>
      </c>
      <c r="Y5" s="168">
        <v>56.25</v>
      </c>
      <c r="Z5" s="168">
        <v>56.25</v>
      </c>
      <c r="AA5" s="168">
        <v>56.25</v>
      </c>
      <c r="AB5" s="168"/>
      <c r="AC5" s="168">
        <v>65</v>
      </c>
      <c r="AD5" s="168">
        <v>65</v>
      </c>
      <c r="AE5" s="168"/>
      <c r="AF5" s="168">
        <v>60</v>
      </c>
      <c r="AG5" s="168"/>
      <c r="AH5" s="168">
        <v>55</v>
      </c>
      <c r="AI5" s="168">
        <v>60</v>
      </c>
      <c r="AJ5" s="168">
        <v>65</v>
      </c>
      <c r="AK5" s="168"/>
      <c r="AL5" s="168">
        <v>60</v>
      </c>
      <c r="AM5" s="168"/>
      <c r="AN5" s="168">
        <v>50</v>
      </c>
      <c r="AO5" s="168">
        <v>50</v>
      </c>
      <c r="AP5" s="168"/>
      <c r="AQ5" s="168">
        <v>55</v>
      </c>
      <c r="AR5" s="168"/>
      <c r="AS5" s="168">
        <v>55</v>
      </c>
      <c r="AT5" s="168">
        <v>65</v>
      </c>
      <c r="AU5" s="168">
        <v>60</v>
      </c>
      <c r="AV5" s="168"/>
      <c r="AW5" s="168">
        <v>65</v>
      </c>
      <c r="AX5" s="168"/>
      <c r="AY5" s="168"/>
      <c r="AZ5" s="168"/>
      <c r="BA5" s="168"/>
      <c r="BB5" s="168"/>
      <c r="BC5" s="168"/>
      <c r="BD5" s="168"/>
      <c r="BE5" s="168"/>
      <c r="BF5" s="168"/>
      <c r="BG5" s="168"/>
      <c r="BH5" s="168"/>
      <c r="BI5" s="168"/>
      <c r="BJ5" s="168"/>
      <c r="BK5" s="168"/>
      <c r="BL5" s="168"/>
      <c r="BM5" s="168"/>
      <c r="BN5" s="168"/>
      <c r="BO5" s="168"/>
      <c r="BP5" s="168"/>
      <c r="BQ5" s="168"/>
      <c r="BR5" s="168"/>
      <c r="BS5" s="168"/>
      <c r="BT5" s="168">
        <v>50</v>
      </c>
      <c r="BU5" s="168"/>
      <c r="BV5" s="168">
        <v>55</v>
      </c>
      <c r="BW5" s="168"/>
      <c r="BX5" s="168">
        <v>65</v>
      </c>
      <c r="BY5" s="168">
        <v>55</v>
      </c>
      <c r="BZ5" s="168">
        <v>50</v>
      </c>
      <c r="CA5" s="168">
        <v>55</v>
      </c>
      <c r="CB5" s="168"/>
      <c r="CC5" s="168">
        <v>50</v>
      </c>
      <c r="CD5" s="168"/>
      <c r="CE5" s="168">
        <v>65</v>
      </c>
      <c r="CF5" s="168">
        <v>55</v>
      </c>
      <c r="CG5" s="168">
        <v>50</v>
      </c>
      <c r="CH5" s="168"/>
      <c r="CI5" s="168"/>
      <c r="CJ5" s="168"/>
      <c r="CK5" s="168"/>
      <c r="CL5" s="168"/>
      <c r="CM5" s="168"/>
      <c r="CN5" s="168"/>
      <c r="CO5" s="168"/>
      <c r="CP5" s="168"/>
      <c r="CQ5" s="168"/>
      <c r="CR5" s="168"/>
      <c r="CS5" s="168"/>
      <c r="CT5" s="168"/>
      <c r="CU5" s="168"/>
      <c r="CV5" s="168"/>
      <c r="CW5" s="168"/>
      <c r="CX5" s="168"/>
      <c r="CY5" s="168"/>
      <c r="CZ5" s="168"/>
      <c r="DA5" s="168"/>
      <c r="DB5" s="168"/>
      <c r="DC5" s="168"/>
      <c r="DD5" s="168"/>
      <c r="DE5" s="168"/>
      <c r="DF5" s="168"/>
      <c r="DG5" s="168"/>
      <c r="DH5" s="168"/>
      <c r="DI5" s="168"/>
      <c r="DJ5" s="168"/>
      <c r="DK5" s="168"/>
      <c r="DL5" s="168"/>
      <c r="DM5" s="168"/>
      <c r="DN5" s="168"/>
      <c r="DO5" s="168"/>
      <c r="DP5" s="168"/>
      <c r="DQ5" s="168"/>
      <c r="DR5" s="168"/>
      <c r="DS5" s="168"/>
      <c r="DT5" s="168"/>
      <c r="DU5" s="168"/>
      <c r="DV5" s="168"/>
      <c r="DW5" s="168"/>
      <c r="DX5" s="168"/>
      <c r="DY5" s="168"/>
      <c r="DZ5" s="168"/>
      <c r="EA5" s="168"/>
      <c r="EB5" s="168"/>
      <c r="EC5" s="168"/>
      <c r="ED5" s="168"/>
      <c r="EE5" s="168"/>
      <c r="EF5" s="168"/>
      <c r="EG5" s="168"/>
      <c r="EH5" s="168"/>
      <c r="EI5" s="168"/>
      <c r="EJ5" s="168"/>
      <c r="EK5" s="168"/>
      <c r="EL5" s="168"/>
      <c r="EM5" s="168"/>
      <c r="EN5" s="168"/>
      <c r="EO5" s="168"/>
      <c r="EP5" s="168"/>
      <c r="EQ5" s="168"/>
      <c r="ER5" s="168"/>
      <c r="ES5" s="168"/>
      <c r="ET5" s="168"/>
      <c r="EU5" s="168"/>
      <c r="EV5" s="168"/>
      <c r="EW5" s="168"/>
      <c r="EX5" s="168"/>
      <c r="EY5" s="168"/>
      <c r="EZ5" s="168"/>
      <c r="FA5" s="168"/>
      <c r="FB5" s="168"/>
      <c r="FC5" s="168"/>
      <c r="FD5" s="168" t="s">
        <v>241</v>
      </c>
      <c r="FE5" s="168"/>
      <c r="FF5" s="168"/>
      <c r="FG5" s="168"/>
      <c r="FH5" s="168"/>
      <c r="FI5" s="168"/>
      <c r="FJ5" s="168"/>
      <c r="FK5" s="168"/>
      <c r="FL5" s="168"/>
      <c r="FM5" s="168"/>
      <c r="FN5" s="168"/>
      <c r="FO5" s="168"/>
      <c r="FP5" s="168"/>
      <c r="FQ5" s="168"/>
      <c r="FR5" s="168"/>
      <c r="FS5" s="168"/>
      <c r="FT5" s="168"/>
      <c r="FU5" s="168"/>
      <c r="FV5" s="168"/>
      <c r="FW5" s="168"/>
      <c r="FX5" s="168"/>
      <c r="FY5" s="168"/>
      <c r="FZ5" s="168"/>
      <c r="GA5" s="168"/>
      <c r="GB5" s="165"/>
      <c r="GC5" s="170"/>
      <c r="GD5" s="168"/>
      <c r="GE5" s="168"/>
      <c r="GF5" s="168"/>
      <c r="GG5" s="168"/>
      <c r="GH5" s="168"/>
      <c r="GI5" s="168"/>
      <c r="GJ5" s="168"/>
      <c r="GK5" s="168"/>
      <c r="GL5" s="168"/>
      <c r="GM5" s="168"/>
      <c r="GN5" s="168"/>
      <c r="GO5" s="168" t="s">
        <v>246</v>
      </c>
      <c r="GP5" s="168"/>
      <c r="GQ5" s="168"/>
      <c r="GR5" s="168"/>
      <c r="GS5" s="168"/>
      <c r="GT5" s="168"/>
      <c r="GU5" s="168"/>
      <c r="GV5" s="168"/>
      <c r="GW5" s="168"/>
      <c r="GX5" s="168"/>
      <c r="GY5" s="168"/>
      <c r="GZ5" s="168"/>
      <c r="HA5" s="168"/>
      <c r="HB5" s="168"/>
      <c r="HC5" s="168"/>
      <c r="HD5" s="168"/>
      <c r="HE5" s="168"/>
      <c r="HF5" s="168"/>
      <c r="HG5" s="168"/>
      <c r="HH5" s="168"/>
      <c r="HI5" s="168"/>
      <c r="HJ5" s="168"/>
      <c r="HK5" s="168"/>
      <c r="HL5" s="168"/>
      <c r="HM5" s="168"/>
      <c r="HN5" s="168"/>
      <c r="HO5" s="168"/>
      <c r="HP5" s="168"/>
      <c r="HQ5" s="168"/>
      <c r="HR5" s="168"/>
      <c r="HS5" s="168" t="str">
        <f t="shared" si="0"/>
        <v>SNHL</v>
      </c>
      <c r="HT5" s="168" t="str">
        <f t="shared" si="1"/>
        <v>SNHL</v>
      </c>
      <c r="HU5" s="168" t="str">
        <f>LEFT(T5,SUM(LEN(T5)-LEN(SUBSTITUTE(T5,{".","0","1","2","3","4","5","6","7","8","9"},""))))</f>
        <v>61.25</v>
      </c>
      <c r="HV5" s="168" t="str">
        <f>LEFT(U5,SUM(LEN(U5)-LEN(SUBSTITUTE(U5,{".","0","1","2","3","4","5","6","7","8","9"},""))))</f>
        <v>55</v>
      </c>
      <c r="HW5" s="168" t="str">
        <f>LEFT(V5,SUM(LEN(V5)-LEN(SUBSTITUTE(V5,{".","0","1","2","3","4","5","6","7","8","9"},""))))</f>
        <v>55</v>
      </c>
      <c r="HX5" s="168" t="str">
        <f>LEFT(W5,SUM(LEN(W5)-LEN(SUBSTITUTE(W5,{".","0","1","2","3","4","5","6","7","8","9"},""))))</f>
        <v>55</v>
      </c>
      <c r="HY5" s="10" t="str">
        <f t="shared" si="2"/>
        <v>55</v>
      </c>
      <c r="HZ5" s="168">
        <f>IF(E5&lt;=18,INDEX($IE$3:$IE$5,MATCH(VALUE(HY5),$ID$3:$ID$5,1)),INDEX($IE$3:$IE$5,MATCH(VALUE(HY5),$IF$3:$IF$5,1)))</f>
        <v>2</v>
      </c>
      <c r="IA5" s="168" t="str">
        <f t="shared" si="3"/>
        <v>SNHL</v>
      </c>
      <c r="IB5" s="164">
        <f>COUNTIF($B$3:B5,B5)</f>
        <v>1</v>
      </c>
      <c r="IC5" s="168" t="str">
        <f t="shared" si="4"/>
        <v/>
      </c>
      <c r="ID5" s="1">
        <v>31</v>
      </c>
      <c r="IE5" s="1">
        <v>2</v>
      </c>
      <c r="IF5" s="1">
        <v>41</v>
      </c>
      <c r="IG5" s="1">
        <v>2</v>
      </c>
      <c r="IH5" s="1" t="s">
        <v>261</v>
      </c>
      <c r="II5" s="1" t="s">
        <v>262</v>
      </c>
      <c r="IJ5" s="1" t="s">
        <v>263</v>
      </c>
      <c r="IK5" s="1">
        <v>2</v>
      </c>
      <c r="IL5" s="1" t="s">
        <v>264</v>
      </c>
    </row>
  </sheetData>
  <sheetProtection sheet="1" objects="1" scenarios="1" selectLockedCells="1"/>
  <phoneticPr fontId="17" type="noConversion"/>
  <conditionalFormatting sqref="B1 B3:B1048576">
    <cfRule type="duplicateValues" dxfId="246" priority="76"/>
  </conditionalFormatting>
  <conditionalFormatting sqref="IB1:IC1 IB3:IC1048576 IB2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{AE4020FD-1E79-44A5-BDE0-B3129B12AC87}</x14:id>
        </ext>
      </extLst>
    </cfRule>
  </conditionalFormatting>
  <conditionalFormatting sqref="B2">
    <cfRule type="duplicateValues" dxfId="245" priority="36"/>
  </conditionalFormatting>
  <conditionalFormatting sqref="IC2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{CBCC1704-8D2B-4FBF-8911-FD9D7C8CA6DC}</x14:id>
        </ext>
      </extLst>
    </cfRule>
  </conditionalFormatting>
  <conditionalFormatting sqref="B1:B1048576">
    <cfRule type="duplicateValues" dxfId="244" priority="20"/>
  </conditionalFormatting>
  <conditionalFormatting sqref="A1:A1048576">
    <cfRule type="duplicateValues" dxfId="243" priority="19"/>
  </conditionalFormatting>
  <pageMargins left="0.7" right="0.7" top="0.75" bottom="0.75" header="0.3" footer="0.3"/>
  <pageSetup paperSize="9"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Audiogram_Sheet">
                <anchor moveWithCells="1" sizeWithCells="1">
                  <from>
                    <xdr:col>3</xdr:col>
                    <xdr:colOff>298450</xdr:colOff>
                    <xdr:row>0</xdr:row>
                    <xdr:rowOff>88900</xdr:rowOff>
                  </from>
                  <to>
                    <xdr:col>7</xdr:col>
                    <xdr:colOff>266700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nd_To_PTA_Sheet">
                <anchor moveWithCells="1">
                  <from>
                    <xdr:col>0</xdr:col>
                    <xdr:colOff>69850</xdr:colOff>
                    <xdr:row>0</xdr:row>
                    <xdr:rowOff>57150</xdr:rowOff>
                  </from>
                  <to>
                    <xdr:col>3</xdr:col>
                    <xdr:colOff>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4020FD-1E79-44A5-BDE0-B3129B12AC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IB1:IC1 IB3:IC1048576 IB2</xm:sqref>
        </x14:conditionalFormatting>
        <x14:conditionalFormatting xmlns:xm="http://schemas.microsoft.com/office/excel/2006/main">
          <x14:cfRule type="dataBar" id="{CBCC1704-8D2B-4FBF-8911-FD9D7C8CA6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IC2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B050"/>
    <pageSetUpPr fitToPage="1"/>
  </sheetPr>
  <dimension ref="A2:AJ169"/>
  <sheetViews>
    <sheetView showGridLines="0" showRowColHeaders="0" tabSelected="1" zoomScale="80" zoomScaleNormal="80" zoomScaleSheetLayoutView="70" zoomScalePageLayoutView="70" workbookViewId="0">
      <selection activeCell="AJ21" sqref="AJ21"/>
    </sheetView>
  </sheetViews>
  <sheetFormatPr defaultColWidth="6.81640625" defaultRowHeight="13" x14ac:dyDescent="0.3"/>
  <cols>
    <col min="1" max="12" width="5.26953125" style="15" customWidth="1"/>
    <col min="13" max="13" width="9.6328125" style="15" customWidth="1"/>
    <col min="14" max="23" width="5.26953125" style="15" customWidth="1"/>
    <col min="24" max="24" width="5.08984375" style="15" customWidth="1"/>
    <col min="25" max="25" width="5.26953125" style="15" customWidth="1"/>
    <col min="26" max="27" width="6.81640625" style="15"/>
    <col min="28" max="28" width="12.81640625" style="15" customWidth="1"/>
    <col min="29" max="29" width="8.6328125" style="15" bestFit="1" customWidth="1"/>
    <col min="30" max="30" width="6" style="15" customWidth="1"/>
    <col min="31" max="32" width="6.81640625" style="15"/>
    <col min="33" max="33" width="7.08984375" style="15" bestFit="1" customWidth="1"/>
    <col min="34" max="34" width="4" style="15" customWidth="1"/>
    <col min="35" max="16384" width="6.81640625" style="15"/>
  </cols>
  <sheetData>
    <row r="2" spans="1:36" ht="14.5" x14ac:dyDescent="0.35">
      <c r="A2" s="11" t="s">
        <v>3</v>
      </c>
      <c r="B2" s="174"/>
      <c r="C2" s="174"/>
      <c r="D2" s="174"/>
      <c r="E2" s="174"/>
      <c r="F2" s="174"/>
      <c r="G2" s="174"/>
      <c r="H2" s="174"/>
      <c r="I2" s="12" t="s">
        <v>293</v>
      </c>
      <c r="J2" s="13"/>
      <c r="K2" s="12" t="s">
        <v>294</v>
      </c>
      <c r="L2" s="13"/>
      <c r="M2" s="12" t="s">
        <v>295</v>
      </c>
      <c r="N2" s="175"/>
      <c r="O2" s="176"/>
      <c r="P2" s="14" t="s">
        <v>296</v>
      </c>
      <c r="Q2" s="177"/>
      <c r="R2" s="175"/>
      <c r="S2" s="178" t="s">
        <v>297</v>
      </c>
      <c r="T2" s="179"/>
      <c r="U2" s="175"/>
      <c r="V2" s="175"/>
      <c r="W2" s="175"/>
      <c r="X2" s="175"/>
      <c r="Y2" s="175"/>
      <c r="AB2" s="15" t="s">
        <v>298</v>
      </c>
      <c r="AC2" s="15">
        <f ca="1">Y166</f>
        <v>1</v>
      </c>
      <c r="AE2" s="15" t="s">
        <v>299</v>
      </c>
    </row>
    <row r="3" spans="1:36" x14ac:dyDescent="0.3">
      <c r="A3" s="16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 s="172"/>
      <c r="T3" s="172"/>
      <c r="U3" s="172"/>
      <c r="V3" s="173"/>
      <c r="W3" s="173"/>
      <c r="X3" s="173"/>
      <c r="Y3"/>
      <c r="AC3" s="15" t="s">
        <v>430</v>
      </c>
      <c r="AG3" s="15" t="b">
        <v>1</v>
      </c>
      <c r="AI3" s="15" t="s">
        <v>449</v>
      </c>
    </row>
    <row r="4" spans="1:36" ht="14.25" customHeight="1" x14ac:dyDescent="0.3">
      <c r="A4" s="16" t="s">
        <v>300</v>
      </c>
      <c r="B4" s="183"/>
      <c r="C4" s="184"/>
      <c r="D4" s="184"/>
      <c r="E4" s="184"/>
      <c r="F4" s="184"/>
      <c r="G4" s="184"/>
      <c r="H4" s="184"/>
      <c r="I4" s="184"/>
      <c r="J4" s="184"/>
      <c r="K4" s="185"/>
      <c r="M4" s="15" t="s">
        <v>301</v>
      </c>
      <c r="N4" s="15" t="s">
        <v>8</v>
      </c>
      <c r="P4" s="15" t="s">
        <v>10</v>
      </c>
      <c r="R4" s="15" t="s">
        <v>302</v>
      </c>
      <c r="T4" s="189" t="s">
        <v>303</v>
      </c>
      <c r="U4" s="189"/>
      <c r="V4" s="190">
        <v>44151.809027777781</v>
      </c>
      <c r="W4" s="190"/>
      <c r="X4" s="190"/>
      <c r="Y4" s="190"/>
      <c r="AC4" s="15" t="s">
        <v>421</v>
      </c>
      <c r="AG4" s="15" t="b">
        <v>0</v>
      </c>
      <c r="AI4" s="15" t="s">
        <v>450</v>
      </c>
    </row>
    <row r="5" spans="1:36" ht="14.5" x14ac:dyDescent="0.35">
      <c r="A5" s="16"/>
      <c r="B5" s="186"/>
      <c r="C5" s="187"/>
      <c r="D5" s="187"/>
      <c r="E5" s="187"/>
      <c r="F5" s="187"/>
      <c r="G5" s="187"/>
      <c r="H5" s="187"/>
      <c r="I5" s="187"/>
      <c r="J5" s="187"/>
      <c r="K5" s="188"/>
      <c r="N5" s="15" t="s">
        <v>9</v>
      </c>
      <c r="P5" s="15" t="s">
        <v>11</v>
      </c>
      <c r="R5" s="15" t="s">
        <v>13</v>
      </c>
      <c r="T5" s="189" t="s">
        <v>304</v>
      </c>
      <c r="U5" s="179"/>
      <c r="V5" s="175" t="s">
        <v>445</v>
      </c>
      <c r="W5" s="175"/>
      <c r="X5" s="175"/>
      <c r="AB5" s="17"/>
      <c r="AC5" s="15" t="s">
        <v>422</v>
      </c>
      <c r="AG5" s="15" t="s">
        <v>424</v>
      </c>
      <c r="AI5" s="171" t="s">
        <v>448</v>
      </c>
    </row>
    <row r="6" spans="1:36" customFormat="1" thickBot="1" x14ac:dyDescent="0.3">
      <c r="AC6" t="s">
        <v>423</v>
      </c>
      <c r="AG6" t="str">
        <f>TEXT(V4,"yyyymmddhhmm")&amp;"-"&amp;N2&amp;"-"&amp;B2</f>
        <v>202011161925--</v>
      </c>
    </row>
    <row r="7" spans="1:36" ht="13.15" customHeight="1" x14ac:dyDescent="0.3">
      <c r="A7" s="191" t="s">
        <v>305</v>
      </c>
      <c r="B7" s="192"/>
      <c r="C7" s="192"/>
      <c r="D7" s="192"/>
      <c r="E7" s="192"/>
      <c r="F7" s="192"/>
      <c r="G7" s="192"/>
      <c r="H7" s="192"/>
      <c r="I7" s="192"/>
      <c r="J7" s="192"/>
      <c r="K7" s="193"/>
      <c r="L7" s="197" t="s">
        <v>306</v>
      </c>
      <c r="M7" s="198"/>
      <c r="N7" s="199"/>
      <c r="O7" s="191" t="s">
        <v>307</v>
      </c>
      <c r="P7" s="192"/>
      <c r="Q7" s="192"/>
      <c r="R7" s="192"/>
      <c r="S7" s="192"/>
      <c r="T7" s="192"/>
      <c r="U7" s="192"/>
      <c r="V7" s="192"/>
      <c r="W7" s="192"/>
      <c r="X7" s="192"/>
      <c r="Y7" s="193"/>
      <c r="AC7" s="15" t="s">
        <v>427</v>
      </c>
      <c r="AG7" s="15" t="b">
        <v>0</v>
      </c>
      <c r="AI7" s="15" t="s">
        <v>451</v>
      </c>
    </row>
    <row r="8" spans="1:36" ht="12.75" customHeight="1" x14ac:dyDescent="0.3">
      <c r="A8" s="194"/>
      <c r="B8" s="195"/>
      <c r="C8" s="195"/>
      <c r="D8" s="195"/>
      <c r="E8" s="195"/>
      <c r="F8" s="195"/>
      <c r="G8" s="195"/>
      <c r="H8" s="195"/>
      <c r="I8" s="195"/>
      <c r="J8" s="195"/>
      <c r="K8" s="196"/>
      <c r="L8" s="200" t="s">
        <v>308</v>
      </c>
      <c r="M8" s="201"/>
      <c r="N8" s="202"/>
      <c r="O8" s="194"/>
      <c r="P8" s="195"/>
      <c r="Q8" s="195"/>
      <c r="R8" s="195"/>
      <c r="S8" s="195"/>
      <c r="T8" s="195"/>
      <c r="U8" s="195"/>
      <c r="V8" s="195"/>
      <c r="W8" s="195"/>
      <c r="X8" s="195"/>
      <c r="Y8" s="196"/>
      <c r="AC8" s="15" t="s">
        <v>428</v>
      </c>
      <c r="AG8" s="15" t="s">
        <v>429</v>
      </c>
    </row>
    <row r="9" spans="1:36" ht="13.5" thickBot="1" x14ac:dyDescent="0.35">
      <c r="A9" s="18"/>
      <c r="B9"/>
      <c r="C9"/>
      <c r="D9"/>
      <c r="K9" s="19"/>
      <c r="L9" s="20"/>
      <c r="M9" s="21" t="s">
        <v>309</v>
      </c>
      <c r="N9" s="19"/>
      <c r="O9" s="20"/>
      <c r="Y9" s="19"/>
    </row>
    <row r="10" spans="1:36" ht="14.5" x14ac:dyDescent="0.35">
      <c r="A10" s="18"/>
      <c r="B10"/>
      <c r="C10"/>
      <c r="D10"/>
      <c r="K10" s="19"/>
      <c r="L10" s="20"/>
      <c r="M10" s="21" t="s">
        <v>310</v>
      </c>
      <c r="N10" s="19"/>
      <c r="O10" s="20"/>
      <c r="Y10" s="19"/>
      <c r="AE10" s="203" t="s">
        <v>311</v>
      </c>
      <c r="AF10" s="204"/>
      <c r="AG10" s="204"/>
      <c r="AH10" s="205"/>
    </row>
    <row r="11" spans="1:36" x14ac:dyDescent="0.3">
      <c r="A11" s="18"/>
      <c r="B11"/>
      <c r="C11"/>
      <c r="D11"/>
      <c r="K11" s="19"/>
      <c r="L11" s="200" t="s">
        <v>312</v>
      </c>
      <c r="M11" s="201"/>
      <c r="N11" s="202"/>
      <c r="O11" s="20"/>
      <c r="Y11" s="19"/>
      <c r="AE11" s="20"/>
      <c r="AH11" s="19"/>
      <c r="AJ11" s="15" t="s">
        <v>452</v>
      </c>
    </row>
    <row r="12" spans="1:36" x14ac:dyDescent="0.3">
      <c r="A12" s="18"/>
      <c r="B12"/>
      <c r="C12"/>
      <c r="D12"/>
      <c r="K12" s="19"/>
      <c r="L12" s="20"/>
      <c r="M12" s="21" t="s">
        <v>309</v>
      </c>
      <c r="N12" s="19"/>
      <c r="O12" s="20"/>
      <c r="Y12" s="19"/>
      <c r="AE12" s="20"/>
      <c r="AH12" s="19"/>
    </row>
    <row r="13" spans="1:36" x14ac:dyDescent="0.3">
      <c r="A13" s="18"/>
      <c r="B13"/>
      <c r="C13"/>
      <c r="D13"/>
      <c r="K13" s="19"/>
      <c r="L13" s="20"/>
      <c r="M13" s="21" t="s">
        <v>310</v>
      </c>
      <c r="N13" s="19"/>
      <c r="O13" s="20"/>
      <c r="Y13" s="19"/>
      <c r="AE13" s="20"/>
      <c r="AH13" s="19"/>
    </row>
    <row r="14" spans="1:36" x14ac:dyDescent="0.3">
      <c r="A14" s="18"/>
      <c r="B14"/>
      <c r="C14"/>
      <c r="D14"/>
      <c r="K14" s="19"/>
      <c r="L14" s="180" t="s">
        <v>313</v>
      </c>
      <c r="M14" s="181"/>
      <c r="N14" s="182"/>
      <c r="O14" s="20"/>
      <c r="Y14" s="19"/>
      <c r="AE14" s="20"/>
      <c r="AH14" s="19"/>
    </row>
    <row r="15" spans="1:36" x14ac:dyDescent="0.3">
      <c r="A15" s="18"/>
      <c r="B15"/>
      <c r="C15"/>
      <c r="D15"/>
      <c r="K15" s="19"/>
      <c r="L15" s="20"/>
      <c r="M15" s="22" t="s">
        <v>314</v>
      </c>
      <c r="N15" s="19"/>
      <c r="O15" s="20"/>
      <c r="Y15" s="19"/>
      <c r="AE15" s="20"/>
      <c r="AH15" s="19"/>
    </row>
    <row r="16" spans="1:36" ht="14.5" x14ac:dyDescent="0.35">
      <c r="A16" s="18"/>
      <c r="B16"/>
      <c r="C16"/>
      <c r="D16"/>
      <c r="K16" s="19"/>
      <c r="L16" s="20"/>
      <c r="M16" s="22" t="s">
        <v>315</v>
      </c>
      <c r="N16" s="19"/>
      <c r="O16" s="20"/>
      <c r="Y16" s="19"/>
      <c r="AB16" s="206" t="s">
        <v>447</v>
      </c>
      <c r="AC16" s="206"/>
      <c r="AE16" s="20"/>
      <c r="AH16" s="19"/>
    </row>
    <row r="17" spans="1:34" ht="13.5" thickBot="1" x14ac:dyDescent="0.35">
      <c r="A17" s="18"/>
      <c r="B17"/>
      <c r="C17"/>
      <c r="D17"/>
      <c r="K17" s="19"/>
      <c r="L17" s="20"/>
      <c r="N17" s="19"/>
      <c r="O17" s="20"/>
      <c r="Y17" s="19"/>
      <c r="AE17" s="23"/>
      <c r="AF17" s="24"/>
      <c r="AG17" s="24"/>
      <c r="AH17" s="25"/>
    </row>
    <row r="18" spans="1:34" x14ac:dyDescent="0.3">
      <c r="A18" s="18"/>
      <c r="B18"/>
      <c r="C18"/>
      <c r="D18"/>
      <c r="K18" s="19"/>
      <c r="L18" s="20"/>
      <c r="M18" s="26" t="s">
        <v>316</v>
      </c>
      <c r="N18" s="19"/>
      <c r="O18" s="20"/>
      <c r="Y18" s="19"/>
    </row>
    <row r="19" spans="1:34" x14ac:dyDescent="0.3">
      <c r="A19" s="18"/>
      <c r="B19"/>
      <c r="C19"/>
      <c r="D19"/>
      <c r="K19" s="19"/>
      <c r="O19" s="20"/>
      <c r="Y19" s="19"/>
    </row>
    <row r="20" spans="1:34" x14ac:dyDescent="0.3">
      <c r="A20" s="18"/>
      <c r="B20"/>
      <c r="C20"/>
      <c r="D20"/>
      <c r="K20" s="19"/>
      <c r="L20" s="180" t="s">
        <v>317</v>
      </c>
      <c r="M20" s="181"/>
      <c r="N20" s="182"/>
      <c r="O20" s="20"/>
      <c r="Y20" s="19"/>
    </row>
    <row r="21" spans="1:34" x14ac:dyDescent="0.3">
      <c r="A21" s="18"/>
      <c r="B21"/>
      <c r="C21"/>
      <c r="D21"/>
      <c r="K21" s="19"/>
      <c r="L21" s="20"/>
      <c r="N21" s="19"/>
      <c r="O21" s="20"/>
      <c r="Y21" s="19"/>
    </row>
    <row r="22" spans="1:34" x14ac:dyDescent="0.3">
      <c r="A22" s="18"/>
      <c r="B22"/>
      <c r="C22"/>
      <c r="D22"/>
      <c r="K22" s="19"/>
      <c r="L22" s="20"/>
      <c r="N22" s="19"/>
      <c r="O22" s="20"/>
      <c r="Y22" s="19"/>
    </row>
    <row r="23" spans="1:34" x14ac:dyDescent="0.3">
      <c r="A23" s="18"/>
      <c r="B23"/>
      <c r="C23"/>
      <c r="D23"/>
      <c r="K23" s="19"/>
      <c r="L23" s="180" t="s">
        <v>318</v>
      </c>
      <c r="M23" s="181"/>
      <c r="N23" s="182"/>
      <c r="O23" s="20"/>
      <c r="Y23" s="19"/>
    </row>
    <row r="24" spans="1:34" x14ac:dyDescent="0.3">
      <c r="A24" s="18"/>
      <c r="B24"/>
      <c r="C24"/>
      <c r="D24"/>
      <c r="K24" s="19"/>
      <c r="L24" s="20"/>
      <c r="M24" s="27" t="s">
        <v>246</v>
      </c>
      <c r="N24" s="19"/>
      <c r="O24" s="20"/>
      <c r="Y24" s="19"/>
    </row>
    <row r="25" spans="1:34" x14ac:dyDescent="0.3">
      <c r="A25" s="18"/>
      <c r="B25"/>
      <c r="C25"/>
      <c r="D25"/>
      <c r="K25" s="19"/>
      <c r="L25" s="20"/>
      <c r="N25" s="19"/>
      <c r="O25" s="20"/>
      <c r="Y25" s="19"/>
    </row>
    <row r="26" spans="1:34" ht="13.5" thickBot="1" x14ac:dyDescent="0.35">
      <c r="A26" s="28"/>
      <c r="B26" s="29"/>
      <c r="C26" s="29"/>
      <c r="D26" s="29"/>
      <c r="E26" s="24"/>
      <c r="F26" s="24"/>
      <c r="G26" s="24"/>
      <c r="H26" s="24"/>
      <c r="I26" s="24"/>
      <c r="J26" s="24"/>
      <c r="K26" s="25"/>
      <c r="L26" s="23"/>
      <c r="M26" s="30"/>
      <c r="N26" s="25"/>
      <c r="O26" s="23"/>
      <c r="P26" s="24"/>
      <c r="Q26" s="24"/>
      <c r="R26" s="24"/>
      <c r="S26" s="24"/>
      <c r="T26" s="24"/>
      <c r="U26" s="24"/>
      <c r="V26" s="24"/>
      <c r="W26" s="24"/>
      <c r="X26" s="24"/>
      <c r="Y26" s="25"/>
    </row>
    <row r="27" spans="1:34" ht="23.25" customHeight="1" x14ac:dyDescent="0.3">
      <c r="A27" s="207" t="s">
        <v>319</v>
      </c>
      <c r="B27" s="207"/>
      <c r="C27" s="208" t="str">
        <f>IFERROR(X120,"")</f>
        <v/>
      </c>
      <c r="D27" s="208"/>
      <c r="E27" s="208"/>
      <c r="F27" s="208"/>
      <c r="G27" s="208"/>
      <c r="H27" s="208"/>
      <c r="I27" s="208"/>
      <c r="J27" s="208"/>
      <c r="K27" s="208"/>
      <c r="M27" s="31" t="s">
        <v>320</v>
      </c>
      <c r="O27" s="207" t="s">
        <v>319</v>
      </c>
      <c r="P27" s="207"/>
      <c r="Q27" s="209" t="str">
        <f>IFERROR(X125,"")</f>
        <v/>
      </c>
      <c r="R27" s="209"/>
      <c r="S27" s="209"/>
      <c r="T27" s="209"/>
      <c r="U27" s="209"/>
      <c r="V27" s="209"/>
      <c r="W27" s="209"/>
      <c r="X27" s="209"/>
      <c r="Y27" s="209"/>
    </row>
    <row r="28" spans="1:34" x14ac:dyDescent="0.3">
      <c r="A28" s="15" t="s">
        <v>321</v>
      </c>
      <c r="B28" s="210"/>
      <c r="C28" s="210"/>
      <c r="D28" s="210"/>
      <c r="E28" s="32" t="s">
        <v>322</v>
      </c>
      <c r="F28" s="33"/>
      <c r="G28" s="32" t="e">
        <f>CONCATENATE(Q69,REPT("+",(Q68+Q65)))</f>
        <v>#N/A</v>
      </c>
      <c r="H28" s="32"/>
      <c r="I28" s="33" t="s">
        <v>323</v>
      </c>
      <c r="J28" s="33"/>
      <c r="K28" s="32" t="e">
        <f>CONCATENATE(R69,REPT("+",(R68+R65)))</f>
        <v>#N/A</v>
      </c>
      <c r="M28" s="31" t="s">
        <v>324</v>
      </c>
      <c r="O28" s="15" t="s">
        <v>321</v>
      </c>
      <c r="P28" s="210"/>
      <c r="Q28" s="210"/>
      <c r="R28" s="210"/>
      <c r="S28" s="32" t="s">
        <v>322</v>
      </c>
      <c r="T28" s="33"/>
      <c r="U28" s="32" t="e">
        <f>CONCATENATE(Q78,REPT("+",(Q77+Q74)))</f>
        <v>#N/A</v>
      </c>
      <c r="V28" s="32"/>
      <c r="W28" s="33" t="s">
        <v>323</v>
      </c>
      <c r="X28" s="33"/>
      <c r="Y28" s="32" t="e">
        <f>CONCATENATE(R78,REPT("+",(R77+R74)))</f>
        <v>#N/A</v>
      </c>
    </row>
    <row r="29" spans="1:34" ht="13.5" thickBot="1" x14ac:dyDescent="0.35">
      <c r="B29"/>
      <c r="C29" s="218"/>
      <c r="D29" s="218"/>
      <c r="E29" s="32" t="s">
        <v>325</v>
      </c>
      <c r="F29" s="33"/>
      <c r="G29" s="32" t="e">
        <f>CONCATENATE(Q87,REPT("+",(Q86+Q83)))</f>
        <v>#N/A</v>
      </c>
      <c r="H29" s="33"/>
      <c r="I29" s="33" t="s">
        <v>326</v>
      </c>
      <c r="J29" s="33"/>
      <c r="K29" s="32" t="e">
        <f>CONCATENATE(R87,REPT("+",(R86+R83)))</f>
        <v>#N/A</v>
      </c>
      <c r="P29"/>
      <c r="R29"/>
      <c r="S29" s="32" t="s">
        <v>325</v>
      </c>
      <c r="T29" s="33"/>
      <c r="U29" s="32" t="e">
        <f>CONCATENATE(Q95,REPT("+",(Q94+Q91)))</f>
        <v>#N/A</v>
      </c>
      <c r="V29" s="33"/>
      <c r="W29" s="33" t="s">
        <v>326</v>
      </c>
      <c r="X29" s="33"/>
      <c r="Y29" s="32" t="e">
        <f>CONCATENATE(R95,REPT("+",(R94+R91)))</f>
        <v>#N/A</v>
      </c>
    </row>
    <row r="30" spans="1:34" ht="15.5" x14ac:dyDescent="0.35">
      <c r="A30" s="219" t="s">
        <v>327</v>
      </c>
      <c r="B30" s="220"/>
      <c r="C30" s="220"/>
      <c r="D30" s="220"/>
      <c r="E30" s="220"/>
      <c r="F30" s="220"/>
      <c r="G30" s="220"/>
      <c r="H30" s="220"/>
      <c r="I30" s="220"/>
      <c r="J30" s="220"/>
      <c r="K30" s="220"/>
      <c r="L30" s="221" t="s">
        <v>8</v>
      </c>
      <c r="M30" s="222"/>
      <c r="N30" s="223"/>
      <c r="O30" s="227" t="s">
        <v>327</v>
      </c>
      <c r="P30" s="227"/>
      <c r="Q30" s="227"/>
      <c r="R30" s="227"/>
      <c r="S30" s="227"/>
      <c r="T30" s="227"/>
      <c r="U30" s="227"/>
      <c r="V30" s="227"/>
      <c r="W30" s="227"/>
      <c r="X30" s="227"/>
      <c r="Y30" s="228"/>
    </row>
    <row r="31" spans="1:34" ht="13.9" customHeight="1" thickBot="1" x14ac:dyDescent="0.35">
      <c r="A31" s="34">
        <v>125</v>
      </c>
      <c r="B31" s="35">
        <v>250</v>
      </c>
      <c r="C31" s="35">
        <v>500</v>
      </c>
      <c r="D31" s="35">
        <v>750</v>
      </c>
      <c r="E31" s="35">
        <v>1000</v>
      </c>
      <c r="F31" s="35">
        <v>1500</v>
      </c>
      <c r="G31" s="35">
        <v>2000</v>
      </c>
      <c r="H31" s="35">
        <v>3000</v>
      </c>
      <c r="I31" s="35">
        <v>4000</v>
      </c>
      <c r="J31" s="35">
        <v>6000</v>
      </c>
      <c r="K31" s="35">
        <v>8000</v>
      </c>
      <c r="L31" s="224"/>
      <c r="M31" s="225"/>
      <c r="N31" s="226"/>
      <c r="O31" s="35">
        <v>125</v>
      </c>
      <c r="P31" s="35">
        <v>250</v>
      </c>
      <c r="Q31" s="35">
        <v>500</v>
      </c>
      <c r="R31" s="35">
        <v>750</v>
      </c>
      <c r="S31" s="35">
        <v>1000</v>
      </c>
      <c r="T31" s="35">
        <v>1500</v>
      </c>
      <c r="U31" s="35">
        <v>2000</v>
      </c>
      <c r="V31" s="35">
        <v>3000</v>
      </c>
      <c r="W31" s="35">
        <v>4000</v>
      </c>
      <c r="X31" s="35">
        <v>6000</v>
      </c>
      <c r="Y31" s="36">
        <v>8000</v>
      </c>
      <c r="AE31" s="37"/>
    </row>
    <row r="32" spans="1:34" ht="14.25" customHeight="1" x14ac:dyDescent="0.3">
      <c r="A32" s="38"/>
      <c r="B32" s="39"/>
      <c r="C32" s="39"/>
      <c r="D32" s="40"/>
      <c r="E32" s="39"/>
      <c r="F32" s="40"/>
      <c r="G32" s="39"/>
      <c r="H32" s="39"/>
      <c r="I32" s="39"/>
      <c r="J32" s="40"/>
      <c r="K32" s="41"/>
      <c r="L32" s="229" t="s">
        <v>328</v>
      </c>
      <c r="M32" s="42" t="s">
        <v>329</v>
      </c>
      <c r="N32" s="231" t="s">
        <v>328</v>
      </c>
      <c r="O32" s="43"/>
      <c r="P32" s="44"/>
      <c r="Q32" s="44"/>
      <c r="R32" s="45"/>
      <c r="S32" s="44"/>
      <c r="T32" s="45"/>
      <c r="U32" s="44"/>
      <c r="V32" s="44"/>
      <c r="W32" s="44"/>
      <c r="X32" s="45"/>
      <c r="Y32" s="46"/>
      <c r="AE32" s="37"/>
    </row>
    <row r="33" spans="1:31" ht="14.65" customHeight="1" thickBot="1" x14ac:dyDescent="0.35">
      <c r="A33" s="47"/>
      <c r="B33" s="48"/>
      <c r="C33" s="48"/>
      <c r="D33" s="49"/>
      <c r="E33" s="48"/>
      <c r="F33" s="49"/>
      <c r="G33" s="48"/>
      <c r="H33" s="48"/>
      <c r="I33" s="48"/>
      <c r="J33" s="49"/>
      <c r="K33" s="50"/>
      <c r="L33" s="230"/>
      <c r="M33" s="51" t="s">
        <v>330</v>
      </c>
      <c r="N33" s="232"/>
      <c r="O33" s="52"/>
      <c r="P33" s="53"/>
      <c r="Q33" s="53"/>
      <c r="R33" s="54"/>
      <c r="S33" s="53"/>
      <c r="T33" s="54"/>
      <c r="U33" s="53"/>
      <c r="V33" s="53"/>
      <c r="W33" s="53"/>
      <c r="X33" s="54"/>
      <c r="Y33" s="55"/>
      <c r="AB33" s="247" t="s">
        <v>331</v>
      </c>
      <c r="AC33" s="247"/>
      <c r="AE33" s="37"/>
    </row>
    <row r="34" spans="1:31" ht="15.4" customHeight="1" x14ac:dyDescent="0.3">
      <c r="A34" s="56"/>
      <c r="B34" s="57"/>
      <c r="C34" s="39"/>
      <c r="D34" s="40"/>
      <c r="E34" s="39"/>
      <c r="F34" s="40"/>
      <c r="G34" s="39"/>
      <c r="H34" s="39"/>
      <c r="I34" s="41"/>
      <c r="J34" s="58"/>
      <c r="K34" s="57"/>
      <c r="L34" s="229" t="s">
        <v>332</v>
      </c>
      <c r="M34" s="42" t="s">
        <v>329</v>
      </c>
      <c r="N34" s="248" t="s">
        <v>332</v>
      </c>
      <c r="O34" s="57"/>
      <c r="P34" s="57"/>
      <c r="Q34" s="44"/>
      <c r="R34" s="45"/>
      <c r="S34" s="44"/>
      <c r="T34" s="45"/>
      <c r="U34" s="44"/>
      <c r="V34" s="44"/>
      <c r="W34" s="59"/>
      <c r="X34" s="58"/>
      <c r="Y34" s="60"/>
      <c r="AB34" s="247"/>
      <c r="AC34" s="247"/>
    </row>
    <row r="35" spans="1:31" ht="15" customHeight="1" thickBot="1" x14ac:dyDescent="0.35">
      <c r="A35" s="61"/>
      <c r="B35" s="62"/>
      <c r="C35" s="48"/>
      <c r="D35" s="49"/>
      <c r="E35" s="48"/>
      <c r="F35" s="49"/>
      <c r="G35" s="48"/>
      <c r="H35" s="48"/>
      <c r="I35" s="50"/>
      <c r="J35" s="63"/>
      <c r="K35" s="62"/>
      <c r="L35" s="230"/>
      <c r="M35" s="51" t="s">
        <v>330</v>
      </c>
      <c r="N35" s="249"/>
      <c r="O35" s="62"/>
      <c r="P35" s="62"/>
      <c r="Q35" s="53"/>
      <c r="R35" s="54"/>
      <c r="S35" s="53"/>
      <c r="T35" s="54"/>
      <c r="U35" s="53"/>
      <c r="V35" s="53"/>
      <c r="W35" s="64"/>
      <c r="X35" s="63"/>
      <c r="Y35" s="65"/>
      <c r="AB35" s="247"/>
      <c r="AC35" s="247"/>
    </row>
    <row r="36" spans="1:31" x14ac:dyDescent="0.3">
      <c r="A36" s="38"/>
      <c r="B36" s="39"/>
      <c r="C36" s="39"/>
      <c r="D36" s="40"/>
      <c r="E36" s="39"/>
      <c r="F36" s="40"/>
      <c r="G36" s="39"/>
      <c r="H36" s="39"/>
      <c r="I36" s="39"/>
      <c r="J36" s="40"/>
      <c r="K36" s="41"/>
      <c r="L36" s="229" t="s">
        <v>333</v>
      </c>
      <c r="M36" s="66" t="s">
        <v>334</v>
      </c>
      <c r="N36" s="248" t="s">
        <v>333</v>
      </c>
      <c r="O36" s="43"/>
      <c r="P36" s="44"/>
      <c r="Q36" s="44"/>
      <c r="R36" s="45"/>
      <c r="S36" s="44"/>
      <c r="T36" s="45"/>
      <c r="U36" s="44"/>
      <c r="V36" s="44"/>
      <c r="W36" s="44"/>
      <c r="X36" s="45"/>
      <c r="Y36" s="46"/>
      <c r="AB36" s="247"/>
      <c r="AC36" s="247"/>
    </row>
    <row r="37" spans="1:31" ht="13.5" thickBot="1" x14ac:dyDescent="0.35">
      <c r="A37" s="47"/>
      <c r="B37" s="48"/>
      <c r="C37" s="48"/>
      <c r="D37" s="49"/>
      <c r="E37" s="48"/>
      <c r="F37" s="49"/>
      <c r="G37" s="48"/>
      <c r="H37" s="48"/>
      <c r="I37" s="48"/>
      <c r="J37" s="49"/>
      <c r="K37" s="50"/>
      <c r="L37" s="230"/>
      <c r="M37" s="67" t="s">
        <v>335</v>
      </c>
      <c r="N37" s="249"/>
      <c r="O37" s="52"/>
      <c r="P37" s="53"/>
      <c r="Q37" s="53"/>
      <c r="R37" s="54"/>
      <c r="S37" s="53"/>
      <c r="T37" s="54"/>
      <c r="U37" s="53"/>
      <c r="V37" s="53"/>
      <c r="W37" s="53"/>
      <c r="X37" s="54"/>
      <c r="Y37" s="55"/>
      <c r="AB37" s="247"/>
      <c r="AC37" s="247"/>
    </row>
    <row r="38" spans="1:31" ht="14.25" customHeight="1" thickBot="1" x14ac:dyDescent="0.35">
      <c r="A38" s="68"/>
      <c r="B38" s="69"/>
      <c r="C38" s="70"/>
      <c r="D38" s="71"/>
      <c r="E38" s="70"/>
      <c r="F38" s="71"/>
      <c r="G38" s="70"/>
      <c r="H38" s="70"/>
      <c r="I38" s="72"/>
      <c r="J38" s="63"/>
      <c r="K38" s="69"/>
      <c r="L38" s="73" t="s">
        <v>316</v>
      </c>
      <c r="M38" s="74"/>
      <c r="N38" s="75" t="s">
        <v>316</v>
      </c>
      <c r="O38" s="62"/>
      <c r="P38" s="69"/>
      <c r="Q38" s="76"/>
      <c r="R38" s="77"/>
      <c r="S38" s="76"/>
      <c r="T38" s="77"/>
      <c r="U38" s="76"/>
      <c r="V38" s="76"/>
      <c r="W38" s="78"/>
      <c r="X38" s="63"/>
      <c r="Y38" s="65"/>
      <c r="AB38" s="247"/>
      <c r="AC38" s="247"/>
    </row>
    <row r="39" spans="1:31" ht="13.5" customHeight="1" thickBot="1" x14ac:dyDescent="0.35">
      <c r="A39" s="238" t="s">
        <v>336</v>
      </c>
      <c r="B39" s="239"/>
      <c r="C39" s="211"/>
      <c r="D39" s="212"/>
      <c r="E39" s="212"/>
      <c r="F39" s="212"/>
      <c r="G39" s="212"/>
      <c r="H39" s="212"/>
      <c r="I39" s="212"/>
      <c r="J39" s="212"/>
      <c r="K39" s="213"/>
      <c r="L39"/>
      <c r="O39" s="238" t="s">
        <v>336</v>
      </c>
      <c r="P39" s="244"/>
      <c r="Q39" s="211"/>
      <c r="R39" s="212"/>
      <c r="S39" s="212"/>
      <c r="T39" s="212"/>
      <c r="U39" s="212"/>
      <c r="V39" s="212"/>
      <c r="W39" s="212"/>
      <c r="X39" s="212"/>
      <c r="Y39" s="213"/>
      <c r="AB39" s="15" t="s">
        <v>337</v>
      </c>
    </row>
    <row r="40" spans="1:31" ht="16.5" customHeight="1" thickBot="1" x14ac:dyDescent="0.35">
      <c r="A40" s="240"/>
      <c r="B40" s="241"/>
      <c r="C40" s="242"/>
      <c r="D40" s="242"/>
      <c r="E40" s="242"/>
      <c r="F40" s="242"/>
      <c r="G40" s="242"/>
      <c r="H40" s="242"/>
      <c r="I40" s="242"/>
      <c r="J40" s="242"/>
      <c r="K40" s="243"/>
      <c r="L40" s="216" t="s">
        <v>338</v>
      </c>
      <c r="M40" s="233" t="s">
        <v>9</v>
      </c>
      <c r="N40" s="216" t="s">
        <v>339</v>
      </c>
      <c r="O40" s="245"/>
      <c r="P40" s="246"/>
      <c r="Q40" s="214"/>
      <c r="R40" s="214"/>
      <c r="S40" s="214"/>
      <c r="T40" s="214"/>
      <c r="U40" s="214"/>
      <c r="V40" s="214"/>
      <c r="W40" s="214"/>
      <c r="X40" s="214"/>
      <c r="Y40" s="215"/>
      <c r="Z40"/>
      <c r="AA40"/>
    </row>
    <row r="41" spans="1:31" ht="19.899999999999999" customHeight="1" thickBot="1" x14ac:dyDescent="0.5">
      <c r="A41" s="221" t="s">
        <v>340</v>
      </c>
      <c r="B41" s="222"/>
      <c r="C41" s="222"/>
      <c r="D41" s="222"/>
      <c r="E41" s="222"/>
      <c r="F41" s="222"/>
      <c r="G41" s="222"/>
      <c r="H41" s="222"/>
      <c r="I41" s="222"/>
      <c r="J41" s="222"/>
      <c r="K41" s="223"/>
      <c r="L41" s="217"/>
      <c r="M41" s="234"/>
      <c r="N41" s="235"/>
      <c r="O41" s="236" t="s">
        <v>341</v>
      </c>
      <c r="P41" s="237"/>
      <c r="Q41" s="79" t="s">
        <v>342</v>
      </c>
      <c r="R41" s="80">
        <v>1.5</v>
      </c>
      <c r="S41" s="80">
        <v>2</v>
      </c>
      <c r="T41" s="80">
        <v>3</v>
      </c>
      <c r="U41" s="80">
        <v>4</v>
      </c>
      <c r="V41" s="80">
        <v>5</v>
      </c>
      <c r="W41" s="80">
        <v>6</v>
      </c>
      <c r="X41" s="81">
        <v>8</v>
      </c>
      <c r="Y41" s="82" t="s">
        <v>343</v>
      </c>
      <c r="Z41"/>
      <c r="AA41"/>
    </row>
    <row r="42" spans="1:31" ht="13.5" customHeight="1" x14ac:dyDescent="0.3">
      <c r="A42" s="250"/>
      <c r="B42" s="214"/>
      <c r="C42" s="214"/>
      <c r="D42" s="214"/>
      <c r="E42" s="214"/>
      <c r="F42" s="214"/>
      <c r="G42" s="214"/>
      <c r="H42" s="214"/>
      <c r="I42" s="214"/>
      <c r="J42" s="214"/>
      <c r="K42" s="215"/>
      <c r="L42" s="151"/>
      <c r="M42" s="83" t="s">
        <v>344</v>
      </c>
      <c r="N42" s="152"/>
      <c r="O42" s="252" t="s">
        <v>305</v>
      </c>
      <c r="P42" s="253"/>
      <c r="Q42" s="84"/>
      <c r="R42" s="84"/>
      <c r="S42" s="84"/>
      <c r="T42" s="84"/>
      <c r="U42" s="84"/>
      <c r="V42" s="84"/>
      <c r="W42" s="84"/>
      <c r="X42" s="84"/>
      <c r="Y42" s="84"/>
      <c r="Z42"/>
      <c r="AA42"/>
      <c r="AB42" s="15" t="s">
        <v>345</v>
      </c>
    </row>
    <row r="43" spans="1:31" ht="13.5" thickBot="1" x14ac:dyDescent="0.35">
      <c r="A43" s="250"/>
      <c r="B43" s="214"/>
      <c r="C43" s="214"/>
      <c r="D43" s="214"/>
      <c r="E43" s="214"/>
      <c r="F43" s="214"/>
      <c r="G43" s="214"/>
      <c r="H43" s="214"/>
      <c r="I43" s="214"/>
      <c r="J43" s="214"/>
      <c r="K43" s="215"/>
      <c r="L43" s="85"/>
      <c r="M43" s="86" t="s">
        <v>346</v>
      </c>
      <c r="N43" s="148"/>
      <c r="O43" s="254" t="s">
        <v>307</v>
      </c>
      <c r="P43" s="255"/>
      <c r="Q43" s="84"/>
      <c r="R43" s="84"/>
      <c r="S43" s="84"/>
      <c r="T43" s="84"/>
      <c r="U43" s="84"/>
      <c r="V43" s="84"/>
      <c r="W43" s="84"/>
      <c r="X43" s="84"/>
      <c r="Y43" s="84"/>
      <c r="Z43"/>
      <c r="AA43"/>
    </row>
    <row r="44" spans="1:31" ht="16.5" customHeight="1" thickBot="1" x14ac:dyDescent="0.5">
      <c r="A44" s="250"/>
      <c r="B44" s="214"/>
      <c r="C44" s="214"/>
      <c r="D44" s="214"/>
      <c r="E44" s="214"/>
      <c r="F44" s="214"/>
      <c r="G44" s="214"/>
      <c r="H44" s="214"/>
      <c r="I44" s="214"/>
      <c r="J44" s="214"/>
      <c r="K44" s="215"/>
      <c r="L44" s="85"/>
      <c r="M44" s="86" t="s">
        <v>351</v>
      </c>
      <c r="N44" s="148"/>
      <c r="O44" s="236" t="s">
        <v>347</v>
      </c>
      <c r="P44" s="256"/>
      <c r="Q44" s="87">
        <v>0.5</v>
      </c>
      <c r="R44" s="88">
        <v>1</v>
      </c>
      <c r="S44" s="88">
        <v>2</v>
      </c>
      <c r="T44" s="89" t="s">
        <v>348</v>
      </c>
      <c r="U44" s="33" t="s">
        <v>349</v>
      </c>
      <c r="W44" s="37" t="s">
        <v>350</v>
      </c>
      <c r="X44" s="90"/>
      <c r="Y44" s="90"/>
      <c r="Z44"/>
      <c r="AA44"/>
    </row>
    <row r="45" spans="1:31" ht="13.5" customHeight="1" x14ac:dyDescent="0.3">
      <c r="A45" s="250"/>
      <c r="B45" s="214"/>
      <c r="C45" s="214"/>
      <c r="D45" s="214"/>
      <c r="E45" s="214"/>
      <c r="F45" s="214"/>
      <c r="G45" s="214"/>
      <c r="H45" s="214"/>
      <c r="I45" s="214"/>
      <c r="J45" s="214"/>
      <c r="K45" s="215"/>
      <c r="L45" s="85"/>
      <c r="M45" s="86" t="s">
        <v>354</v>
      </c>
      <c r="N45" s="148"/>
      <c r="O45" s="252" t="s">
        <v>305</v>
      </c>
      <c r="P45" s="257"/>
      <c r="Q45" s="91"/>
      <c r="R45" s="92"/>
      <c r="S45" s="147"/>
      <c r="T45" s="93"/>
      <c r="W45" s="37" t="s">
        <v>352</v>
      </c>
      <c r="Y45" s="90"/>
      <c r="Z45" s="90"/>
      <c r="AA45"/>
      <c r="AB45" s="16" t="s">
        <v>353</v>
      </c>
    </row>
    <row r="46" spans="1:31" ht="13.5" thickBot="1" x14ac:dyDescent="0.35">
      <c r="A46" s="251"/>
      <c r="B46" s="242"/>
      <c r="C46" s="242"/>
      <c r="D46" s="242"/>
      <c r="E46" s="242"/>
      <c r="F46" s="242"/>
      <c r="G46" s="242"/>
      <c r="H46" s="242"/>
      <c r="I46" s="242"/>
      <c r="J46" s="242"/>
      <c r="K46" s="243"/>
      <c r="L46" s="94"/>
      <c r="M46" s="95" t="s">
        <v>419</v>
      </c>
      <c r="N46" s="149"/>
      <c r="O46" s="258" t="s">
        <v>307</v>
      </c>
      <c r="P46" s="259"/>
      <c r="Q46" s="96"/>
      <c r="R46" s="97"/>
      <c r="S46" s="98"/>
      <c r="T46" s="99"/>
      <c r="W46" s="37" t="s">
        <v>355</v>
      </c>
    </row>
    <row r="47" spans="1:31" ht="18.75" customHeight="1" thickBot="1" x14ac:dyDescent="0.35">
      <c r="A47" s="221" t="s">
        <v>356</v>
      </c>
      <c r="B47" s="222"/>
      <c r="C47" s="223"/>
      <c r="D47" s="285" t="s">
        <v>305</v>
      </c>
      <c r="E47" s="286"/>
      <c r="F47" s="286"/>
      <c r="G47" s="287"/>
      <c r="H47" s="285" t="s">
        <v>307</v>
      </c>
      <c r="I47" s="286"/>
      <c r="J47" s="286"/>
      <c r="K47" s="287"/>
      <c r="L47" s="221" t="s">
        <v>357</v>
      </c>
      <c r="M47" s="222"/>
      <c r="N47" s="222"/>
      <c r="O47" s="222"/>
      <c r="P47" s="222"/>
      <c r="Q47" s="222"/>
      <c r="R47" s="222"/>
      <c r="S47" s="222"/>
      <c r="T47" s="288"/>
      <c r="U47" s="289" t="s">
        <v>358</v>
      </c>
      <c r="V47" s="222"/>
      <c r="W47" s="222"/>
      <c r="X47" s="222"/>
      <c r="Y47" s="222"/>
    </row>
    <row r="48" spans="1:31" ht="13.5" customHeight="1" x14ac:dyDescent="0.35">
      <c r="A48" s="100" t="s">
        <v>359</v>
      </c>
      <c r="B48" s="260" t="s">
        <v>360</v>
      </c>
      <c r="C48" s="261"/>
      <c r="D48" s="101"/>
      <c r="E48" s="102" t="s">
        <v>361</v>
      </c>
      <c r="F48" s="103"/>
      <c r="G48" s="104" t="s">
        <v>362</v>
      </c>
      <c r="H48" s="105"/>
      <c r="I48" s="102" t="s">
        <v>361</v>
      </c>
      <c r="J48" s="106"/>
      <c r="K48" s="104" t="s">
        <v>362</v>
      </c>
      <c r="L48" s="262"/>
      <c r="M48" s="263"/>
      <c r="N48" s="263"/>
      <c r="O48" s="263"/>
      <c r="P48" s="263"/>
      <c r="Q48" s="263"/>
      <c r="R48" s="263"/>
      <c r="S48" s="263"/>
      <c r="T48" s="264"/>
      <c r="U48" s="268" t="s">
        <v>286</v>
      </c>
      <c r="V48" s="269"/>
      <c r="W48" s="269"/>
      <c r="X48" s="269"/>
      <c r="Y48" s="270"/>
    </row>
    <row r="49" spans="1:29" ht="14.5" x14ac:dyDescent="0.35">
      <c r="A49" s="107" t="s">
        <v>359</v>
      </c>
      <c r="B49" s="271" t="s">
        <v>360</v>
      </c>
      <c r="C49" s="272"/>
      <c r="D49" s="101"/>
      <c r="E49" s="102" t="s">
        <v>361</v>
      </c>
      <c r="F49" s="103"/>
      <c r="G49" s="104" t="s">
        <v>362</v>
      </c>
      <c r="H49" s="105"/>
      <c r="I49" s="102" t="s">
        <v>361</v>
      </c>
      <c r="J49" s="106"/>
      <c r="K49" s="104" t="s">
        <v>362</v>
      </c>
      <c r="L49" s="262"/>
      <c r="M49" s="263"/>
      <c r="N49" s="263"/>
      <c r="O49" s="263"/>
      <c r="P49" s="263"/>
      <c r="Q49" s="263"/>
      <c r="R49" s="263"/>
      <c r="S49" s="263"/>
      <c r="T49" s="264"/>
      <c r="U49" s="273"/>
      <c r="V49" s="214"/>
      <c r="W49" s="214"/>
      <c r="X49" s="214"/>
      <c r="Y49" s="274"/>
    </row>
    <row r="50" spans="1:29" ht="14.5" x14ac:dyDescent="0.35">
      <c r="A50" s="107" t="s">
        <v>359</v>
      </c>
      <c r="B50" s="271" t="s">
        <v>360</v>
      </c>
      <c r="C50" s="272"/>
      <c r="D50" s="101"/>
      <c r="E50" s="102" t="s">
        <v>361</v>
      </c>
      <c r="F50" s="103"/>
      <c r="G50" s="104" t="s">
        <v>362</v>
      </c>
      <c r="H50" s="105"/>
      <c r="I50" s="102" t="s">
        <v>361</v>
      </c>
      <c r="J50" s="150"/>
      <c r="K50" s="104" t="s">
        <v>362</v>
      </c>
      <c r="L50" s="262"/>
      <c r="M50" s="263"/>
      <c r="N50" s="263"/>
      <c r="O50" s="263"/>
      <c r="P50" s="263"/>
      <c r="Q50" s="263"/>
      <c r="R50" s="263"/>
      <c r="S50" s="263"/>
      <c r="T50" s="264"/>
      <c r="U50" s="275"/>
      <c r="V50" s="214"/>
      <c r="W50" s="214"/>
      <c r="X50" s="214"/>
      <c r="Y50" s="274"/>
    </row>
    <row r="51" spans="1:29" ht="14.5" x14ac:dyDescent="0.35">
      <c r="A51" s="107" t="s">
        <v>359</v>
      </c>
      <c r="B51" s="271" t="s">
        <v>360</v>
      </c>
      <c r="C51" s="272"/>
      <c r="D51" s="279" t="s">
        <v>363</v>
      </c>
      <c r="E51" s="280"/>
      <c r="F51" s="103"/>
      <c r="G51" s="104" t="s">
        <v>362</v>
      </c>
      <c r="H51" s="279" t="s">
        <v>363</v>
      </c>
      <c r="I51" s="280"/>
      <c r="J51" s="106"/>
      <c r="K51" s="104" t="s">
        <v>362</v>
      </c>
      <c r="L51" s="262"/>
      <c r="M51" s="263"/>
      <c r="N51" s="263"/>
      <c r="O51" s="263"/>
      <c r="P51" s="263"/>
      <c r="Q51" s="263"/>
      <c r="R51" s="263"/>
      <c r="S51" s="263"/>
      <c r="T51" s="264"/>
      <c r="U51" s="275"/>
      <c r="V51" s="214"/>
      <c r="W51" s="214"/>
      <c r="X51" s="214"/>
      <c r="Y51" s="274"/>
    </row>
    <row r="52" spans="1:29" ht="15" thickBot="1" x14ac:dyDescent="0.4">
      <c r="A52" s="108" t="s">
        <v>359</v>
      </c>
      <c r="B52" s="281" t="s">
        <v>360</v>
      </c>
      <c r="C52" s="282"/>
      <c r="D52" s="283" t="s">
        <v>364</v>
      </c>
      <c r="E52" s="284"/>
      <c r="F52" s="109"/>
      <c r="G52" s="110" t="s">
        <v>362</v>
      </c>
      <c r="H52" s="283" t="s">
        <v>364</v>
      </c>
      <c r="I52" s="284"/>
      <c r="J52" s="111"/>
      <c r="K52" s="110" t="s">
        <v>362</v>
      </c>
      <c r="L52" s="265"/>
      <c r="M52" s="266"/>
      <c r="N52" s="266"/>
      <c r="O52" s="266"/>
      <c r="P52" s="266"/>
      <c r="Q52" s="266"/>
      <c r="R52" s="266"/>
      <c r="S52" s="266"/>
      <c r="T52" s="267"/>
      <c r="U52" s="276"/>
      <c r="V52" s="277"/>
      <c r="W52" s="277"/>
      <c r="X52" s="277"/>
      <c r="Y52" s="278"/>
    </row>
    <row r="53" spans="1:29" customFormat="1" ht="283.5" hidden="1" customHeight="1" x14ac:dyDescent="0.3">
      <c r="A53" s="112" t="s">
        <v>365</v>
      </c>
      <c r="B53" s="113"/>
      <c r="C53" s="114"/>
      <c r="D53" s="114"/>
      <c r="E53" s="114"/>
      <c r="F53" s="15"/>
      <c r="G53" s="15"/>
      <c r="H53" s="15" t="s">
        <v>366</v>
      </c>
      <c r="I53" s="15" t="b">
        <v>1</v>
      </c>
      <c r="J53" s="15"/>
      <c r="K53" s="15"/>
      <c r="L53" s="15"/>
      <c r="M53" s="15"/>
      <c r="N53" s="15"/>
      <c r="O53" s="15"/>
      <c r="P53" s="15"/>
      <c r="U53" s="16" t="s">
        <v>286</v>
      </c>
      <c r="Y53" s="15"/>
      <c r="Z53" s="15"/>
      <c r="AA53" s="15"/>
      <c r="AB53" s="15"/>
      <c r="AC53" s="15"/>
    </row>
    <row r="54" spans="1:29" customFormat="1" ht="19" hidden="1" customHeight="1" x14ac:dyDescent="0.3">
      <c r="A54" s="112"/>
      <c r="B54" s="113"/>
      <c r="C54" s="114"/>
      <c r="D54" s="114"/>
      <c r="E54" s="114"/>
      <c r="F54" s="15"/>
      <c r="G54" s="15"/>
      <c r="H54" s="15"/>
      <c r="I54" s="2" t="b">
        <v>1</v>
      </c>
      <c r="J54" s="2"/>
      <c r="K54" s="2"/>
      <c r="L54" s="2"/>
      <c r="M54" s="2"/>
      <c r="N54" s="2"/>
      <c r="O54" s="15"/>
      <c r="P54" s="15"/>
      <c r="U54" s="16" t="s">
        <v>285</v>
      </c>
      <c r="Y54" s="15"/>
      <c r="Z54" s="15"/>
      <c r="AA54" s="15"/>
      <c r="AB54" s="15"/>
      <c r="AC54" s="15"/>
    </row>
    <row r="55" spans="1:29" customFormat="1" ht="19" hidden="1" customHeight="1" x14ac:dyDescent="0.3">
      <c r="A55" s="112"/>
      <c r="B55" s="113"/>
      <c r="C55" s="114"/>
      <c r="D55" s="114"/>
      <c r="E55" s="114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U55" s="16" t="s">
        <v>289</v>
      </c>
      <c r="Y55" s="15"/>
      <c r="Z55" s="15"/>
      <c r="AA55" s="15"/>
      <c r="AB55" s="15"/>
      <c r="AC55" s="15"/>
    </row>
    <row r="56" spans="1:29" customFormat="1" ht="19" hidden="1" customHeight="1" x14ac:dyDescent="0.3">
      <c r="A56" s="112"/>
      <c r="B56" s="113"/>
      <c r="C56" s="114"/>
      <c r="D56" s="114"/>
      <c r="E56" s="114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U56" s="16" t="s">
        <v>287</v>
      </c>
      <c r="Y56" s="15"/>
      <c r="Z56" s="15"/>
      <c r="AA56" s="15"/>
      <c r="AB56" s="15"/>
      <c r="AC56" s="15"/>
    </row>
    <row r="57" spans="1:29" customFormat="1" ht="19" hidden="1" customHeight="1" x14ac:dyDescent="0.3">
      <c r="B57" s="15"/>
      <c r="S57" s="15"/>
      <c r="T57" s="15"/>
      <c r="U57" s="15" t="s">
        <v>292</v>
      </c>
      <c r="V57" s="15"/>
      <c r="W57" s="15"/>
      <c r="X57" s="15"/>
      <c r="Y57" s="15"/>
      <c r="Z57" s="15"/>
      <c r="AA57" s="15"/>
      <c r="AB57" s="15"/>
    </row>
    <row r="58" spans="1:29" ht="19" hidden="1" customHeight="1" thickBot="1" x14ac:dyDescent="0.35">
      <c r="A58" s="299"/>
      <c r="B58" s="299"/>
      <c r="C58" s="299"/>
      <c r="D58" s="299"/>
    </row>
    <row r="59" spans="1:29" ht="19" hidden="1" customHeight="1" x14ac:dyDescent="0.3">
      <c r="A59" t="s">
        <v>367</v>
      </c>
      <c r="B59"/>
      <c r="C59"/>
      <c r="D59"/>
      <c r="F59" s="300" t="s">
        <v>327</v>
      </c>
      <c r="G59" s="301"/>
      <c r="H59" s="301"/>
      <c r="I59" s="301"/>
      <c r="J59" s="301"/>
      <c r="K59" s="301"/>
      <c r="L59" s="301"/>
      <c r="M59" s="301"/>
      <c r="N59" s="301"/>
      <c r="O59" s="301"/>
      <c r="P59" s="302"/>
    </row>
    <row r="60" spans="1:29" ht="19" hidden="1" customHeight="1" thickBot="1" x14ac:dyDescent="0.35">
      <c r="F60" s="115">
        <v>125</v>
      </c>
      <c r="G60" s="116">
        <v>250</v>
      </c>
      <c r="H60" s="116">
        <v>500</v>
      </c>
      <c r="I60" s="116">
        <v>750</v>
      </c>
      <c r="J60" s="116">
        <v>1000</v>
      </c>
      <c r="K60" s="116">
        <v>1500</v>
      </c>
      <c r="L60" s="116">
        <v>2000</v>
      </c>
      <c r="M60" s="116">
        <v>3000</v>
      </c>
      <c r="N60" s="116">
        <v>4000</v>
      </c>
      <c r="O60" s="116">
        <v>6000</v>
      </c>
      <c r="P60" s="117">
        <v>8000</v>
      </c>
      <c r="Q60" s="15" t="s">
        <v>368</v>
      </c>
      <c r="R60" s="15" t="s">
        <v>369</v>
      </c>
    </row>
    <row r="61" spans="1:29" ht="19" hidden="1" customHeight="1" x14ac:dyDescent="0.3">
      <c r="A61"/>
      <c r="B61"/>
      <c r="F61" s="15">
        <v>120</v>
      </c>
      <c r="G61" s="15">
        <v>240</v>
      </c>
      <c r="H61" s="15">
        <v>470</v>
      </c>
      <c r="I61" s="15">
        <v>700</v>
      </c>
      <c r="J61" s="15">
        <v>950</v>
      </c>
      <c r="K61" s="15">
        <v>1430</v>
      </c>
      <c r="L61" s="15">
        <v>1900</v>
      </c>
      <c r="M61" s="15">
        <v>2800</v>
      </c>
      <c r="N61" s="15">
        <v>3700</v>
      </c>
      <c r="O61" s="15">
        <v>5700</v>
      </c>
      <c r="P61" s="15">
        <v>7500</v>
      </c>
    </row>
    <row r="62" spans="1:29" ht="19" hidden="1" customHeight="1" thickBot="1" x14ac:dyDescent="0.35">
      <c r="A62"/>
      <c r="B62"/>
      <c r="F62" s="15">
        <v>130</v>
      </c>
      <c r="G62" s="15">
        <v>260</v>
      </c>
      <c r="H62" s="15">
        <v>530</v>
      </c>
      <c r="I62" s="15">
        <v>800</v>
      </c>
      <c r="J62" s="15">
        <v>1050</v>
      </c>
      <c r="K62" s="15">
        <v>1570</v>
      </c>
      <c r="L62" s="15">
        <v>2100</v>
      </c>
      <c r="M62" s="15">
        <v>3200</v>
      </c>
      <c r="N62" s="15">
        <v>4300</v>
      </c>
      <c r="O62" s="15">
        <v>6300</v>
      </c>
      <c r="P62" s="15">
        <v>8500</v>
      </c>
    </row>
    <row r="63" spans="1:29" ht="19" hidden="1" customHeight="1" x14ac:dyDescent="0.35">
      <c r="A63" s="290" t="s">
        <v>328</v>
      </c>
      <c r="B63" s="118" t="s">
        <v>370</v>
      </c>
      <c r="C63" s="119"/>
      <c r="D63" s="120"/>
      <c r="F63" s="121" t="e">
        <f>IF(A32="",#N/A,IF(ISNUMBER(A32),A32,VALUE(LEFT(A32,(MIN(FIND({"+","*"},A32&amp;"+,*"))-1)))))</f>
        <v>#N/A</v>
      </c>
      <c r="G63" s="121" t="e">
        <f>IF(B32="",#N/A,IF(ISNUMBER(B32),B32,VALUE(LEFT(B32,(MIN(FIND({"+","*"},B32&amp;"+,*"))-1)))))</f>
        <v>#N/A</v>
      </c>
      <c r="H63" s="121" t="e">
        <f>IF(C32="",#N/A,IF(ISNUMBER(C32),C32,VALUE(LEFT(C32,(MIN(FIND({"+","*"},C32&amp;"+,*"))-1)))))</f>
        <v>#N/A</v>
      </c>
      <c r="I63" s="121" t="e">
        <f>IF(D32="",#N/A,IF(ISNUMBER(D32),D32,VALUE(LEFT(D32,(MIN(FIND({"+","*"},D32&amp;"+,*"))-1)))))</f>
        <v>#N/A</v>
      </c>
      <c r="J63" s="121" t="e">
        <f>IF(E32="",#N/A,IF(ISNUMBER(E32),E32,VALUE(LEFT(E32,(MIN(FIND({"+","*"},E32&amp;"+,*"))-1)))))</f>
        <v>#N/A</v>
      </c>
      <c r="K63" s="121" t="e">
        <f>IF(F32="",#N/A,IF(ISNUMBER(F32),F32,VALUE(LEFT(F32,(MIN(FIND({"+","*"},F32&amp;"+,*"))-1)))))</f>
        <v>#N/A</v>
      </c>
      <c r="L63" s="121" t="e">
        <f>IF(G32="",#N/A,IF(ISNUMBER(G32),G32,VALUE(LEFT(G32,(MIN(FIND({"+","*"},G32&amp;"+,*"))-1)))))</f>
        <v>#N/A</v>
      </c>
      <c r="M63" s="121" t="e">
        <f>IF(H32="",#N/A,IF(ISNUMBER(H32),H32,VALUE(LEFT(H32,(MIN(FIND({"+","*"},H32&amp;"+,*"))-1)))))</f>
        <v>#N/A</v>
      </c>
      <c r="N63" s="121" t="e">
        <f>IF(I32="",#N/A,IF(ISNUMBER(I32),I32,VALUE(LEFT(I32,(MIN(FIND({"+","*"},I32&amp;"+,*"))-1)))))</f>
        <v>#N/A</v>
      </c>
      <c r="O63" s="121" t="e">
        <f>IF(J32="",#N/A,IF(ISNUMBER(J32),J32,VALUE(LEFT(J32,(MIN(FIND({"+","*"},J32&amp;"+,*"))-1)))))</f>
        <v>#N/A</v>
      </c>
      <c r="P63" s="121" t="e">
        <f>IF(K32="",#N/A,IF(ISNUMBER(K32),K32,VALUE(LEFT(K32,(MIN(FIND({"+","*"},K32&amp;"+,*"))-1)))))</f>
        <v>#N/A</v>
      </c>
    </row>
    <row r="64" spans="1:29" ht="19" hidden="1" customHeight="1" x14ac:dyDescent="0.35">
      <c r="A64" s="291"/>
      <c r="B64" s="113" t="s">
        <v>371</v>
      </c>
      <c r="C64" s="122"/>
      <c r="D64" s="123"/>
      <c r="F64" s="121" t="e">
        <f>IF(ISNUMBER(FIND("*",A32)),F63+3,#N/A)</f>
        <v>#N/A</v>
      </c>
      <c r="G64" s="121" t="e">
        <f t="shared" ref="G64:P64" si="0">IF(ISNUMBER(FIND("*",B32)),G63+3,#N/A)</f>
        <v>#N/A</v>
      </c>
      <c r="H64" s="121" t="e">
        <f t="shared" si="0"/>
        <v>#N/A</v>
      </c>
      <c r="I64" s="121" t="e">
        <f t="shared" si="0"/>
        <v>#N/A</v>
      </c>
      <c r="J64" s="121" t="e">
        <f t="shared" si="0"/>
        <v>#N/A</v>
      </c>
      <c r="K64" s="121" t="e">
        <f t="shared" si="0"/>
        <v>#N/A</v>
      </c>
      <c r="L64" s="121" t="e">
        <f t="shared" si="0"/>
        <v>#N/A</v>
      </c>
      <c r="M64" s="121" t="e">
        <f t="shared" si="0"/>
        <v>#N/A</v>
      </c>
      <c r="N64" s="121" t="e">
        <f t="shared" si="0"/>
        <v>#N/A</v>
      </c>
      <c r="O64" s="121" t="e">
        <f t="shared" si="0"/>
        <v>#N/A</v>
      </c>
      <c r="P64" s="121" t="e">
        <f t="shared" si="0"/>
        <v>#N/A</v>
      </c>
    </row>
    <row r="65" spans="1:18" ht="19" hidden="1" customHeight="1" x14ac:dyDescent="0.35">
      <c r="A65" s="291"/>
      <c r="B65" s="113" t="s">
        <v>372</v>
      </c>
      <c r="C65" s="122"/>
      <c r="D65" s="123"/>
      <c r="F65" s="121" t="e">
        <f>IF(ISNUMBER(FIND("+",A32)),F63,#N/A)</f>
        <v>#N/A</v>
      </c>
      <c r="G65" s="121" t="e">
        <f t="shared" ref="G65:P65" si="1">IF(ISNUMBER(FIND("+",B32)),G63,#N/A)</f>
        <v>#N/A</v>
      </c>
      <c r="H65" s="121" t="e">
        <f t="shared" si="1"/>
        <v>#N/A</v>
      </c>
      <c r="I65" s="121" t="e">
        <f t="shared" si="1"/>
        <v>#N/A</v>
      </c>
      <c r="J65" s="121" t="e">
        <f t="shared" si="1"/>
        <v>#N/A</v>
      </c>
      <c r="K65" s="121" t="e">
        <f t="shared" si="1"/>
        <v>#N/A</v>
      </c>
      <c r="L65" s="121" t="e">
        <f t="shared" si="1"/>
        <v>#N/A</v>
      </c>
      <c r="M65" s="121" t="e">
        <f t="shared" si="1"/>
        <v>#N/A</v>
      </c>
      <c r="N65" s="121" t="e">
        <f t="shared" si="1"/>
        <v>#N/A</v>
      </c>
      <c r="O65" s="121" t="e">
        <f t="shared" si="1"/>
        <v>#N/A</v>
      </c>
      <c r="P65" s="121" t="e">
        <f t="shared" si="1"/>
        <v>#N/A</v>
      </c>
      <c r="Q65" s="15">
        <f>COUNT(H65,J65,L65,N65)</f>
        <v>0</v>
      </c>
      <c r="R65" s="15">
        <f>COUNT(H65,J65,L65,M65)</f>
        <v>0</v>
      </c>
    </row>
    <row r="66" spans="1:18" ht="19" hidden="1" customHeight="1" x14ac:dyDescent="0.35">
      <c r="A66" s="291"/>
      <c r="B66" s="113" t="s">
        <v>373</v>
      </c>
      <c r="C66" s="122"/>
      <c r="D66" s="123"/>
      <c r="F66" s="121" t="e">
        <f>IF(A33="",#N/A,IF(ISNUMBER(A33),A33,VALUE(LEFT(A33,(MIN(FIND({"+","*"},A33&amp;"+,*"))-1)))))</f>
        <v>#N/A</v>
      </c>
      <c r="G66" s="121" t="e">
        <f>IF(B33="",#N/A,IF(ISNUMBER(B33),B33,VALUE(LEFT(B33,(MIN(FIND({"+","*"},B33&amp;"+,*"))-1)))))</f>
        <v>#N/A</v>
      </c>
      <c r="H66" s="121" t="e">
        <f>IF(C33="",#N/A,IF(ISNUMBER(C33),C33,VALUE(LEFT(C33,(MIN(FIND({"+","*"},C33&amp;"+,*"))-1)))))</f>
        <v>#N/A</v>
      </c>
      <c r="I66" s="121" t="e">
        <f>IF(D33="",#N/A,IF(ISNUMBER(D33),D33,VALUE(LEFT(D33,(MIN(FIND({"+","*"},D33&amp;"+,*"))-1)))))</f>
        <v>#N/A</v>
      </c>
      <c r="J66" s="121" t="e">
        <f>IF(E33="",#N/A,IF(ISNUMBER(E33),E33,VALUE(LEFT(E33,(MIN(FIND({"+","*"},E33&amp;"+,*"))-1)))))</f>
        <v>#N/A</v>
      </c>
      <c r="K66" s="121" t="e">
        <f>IF(F33="",#N/A,IF(ISNUMBER(F33),F33,VALUE(LEFT(F33,(MIN(FIND({"+","*"},F33&amp;"+,*"))-1)))))</f>
        <v>#N/A</v>
      </c>
      <c r="L66" s="121" t="e">
        <f>IF(G33="",#N/A,IF(ISNUMBER(G33),G33,VALUE(LEFT(G33,(MIN(FIND({"+","*"},G33&amp;"+,*"))-1)))))</f>
        <v>#N/A</v>
      </c>
      <c r="M66" s="121" t="e">
        <f>IF(H33="",#N/A,IF(ISNUMBER(H33),H33,VALUE(LEFT(H33,(MIN(FIND({"+","*"},H33&amp;"+,*"))-1)))))</f>
        <v>#N/A</v>
      </c>
      <c r="N66" s="121" t="e">
        <f>IF(I33="",#N/A,IF(ISNUMBER(I33),I33,VALUE(LEFT(I33,(MIN(FIND({"+","*"},I33&amp;"+,*"))-1)))))</f>
        <v>#N/A</v>
      </c>
      <c r="O66" s="121" t="e">
        <f>IF(J33="",#N/A,IF(ISNUMBER(J33),J33,VALUE(LEFT(J33,(MIN(FIND({"+","*"},J33&amp;"+,*"))-1)))))</f>
        <v>#N/A</v>
      </c>
      <c r="P66" s="121" t="e">
        <f>IF(K33="",#N/A,IF(ISNUMBER(K33),K33,VALUE(LEFT(K33,(MIN(FIND({"+","*"},K33&amp;"+,*"))-1)))))</f>
        <v>#N/A</v>
      </c>
    </row>
    <row r="67" spans="1:18" ht="19" hidden="1" customHeight="1" x14ac:dyDescent="0.35">
      <c r="A67" s="124"/>
      <c r="B67" s="113" t="s">
        <v>374</v>
      </c>
      <c r="C67" s="122"/>
      <c r="D67" s="122"/>
      <c r="F67" s="121" t="e">
        <f>IF(ISNUMBER(FIND("*",A33)),F66+4,#N/A)</f>
        <v>#N/A</v>
      </c>
      <c r="G67" s="121" t="e">
        <f t="shared" ref="G67:P67" si="2">IF(ISNUMBER(FIND("*",B33)),G66+4,#N/A)</f>
        <v>#N/A</v>
      </c>
      <c r="H67" s="121" t="e">
        <f t="shared" si="2"/>
        <v>#N/A</v>
      </c>
      <c r="I67" s="121" t="e">
        <f t="shared" si="2"/>
        <v>#N/A</v>
      </c>
      <c r="J67" s="121" t="e">
        <f t="shared" si="2"/>
        <v>#N/A</v>
      </c>
      <c r="K67" s="121" t="e">
        <f t="shared" si="2"/>
        <v>#N/A</v>
      </c>
      <c r="L67" s="121" t="e">
        <f t="shared" si="2"/>
        <v>#N/A</v>
      </c>
      <c r="M67" s="121" t="e">
        <f t="shared" si="2"/>
        <v>#N/A</v>
      </c>
      <c r="N67" s="121" t="e">
        <f t="shared" si="2"/>
        <v>#N/A</v>
      </c>
      <c r="O67" s="121" t="e">
        <f t="shared" si="2"/>
        <v>#N/A</v>
      </c>
      <c r="P67" s="121" t="e">
        <f t="shared" si="2"/>
        <v>#N/A</v>
      </c>
    </row>
    <row r="68" spans="1:18" ht="19" hidden="1" customHeight="1" x14ac:dyDescent="0.35">
      <c r="A68" s="125"/>
      <c r="B68" s="126" t="s">
        <v>375</v>
      </c>
      <c r="C68" s="16"/>
      <c r="D68" s="16"/>
      <c r="F68" s="121" t="e">
        <f>IF(ISNUMBER(FIND("+",A33)),F66,#N/A)</f>
        <v>#N/A</v>
      </c>
      <c r="G68" s="121" t="e">
        <f t="shared" ref="G68:P68" si="3">IF(ISNUMBER(FIND("+",B33)),G66,#N/A)</f>
        <v>#N/A</v>
      </c>
      <c r="H68" s="121" t="e">
        <f t="shared" si="3"/>
        <v>#N/A</v>
      </c>
      <c r="I68" s="121" t="e">
        <f t="shared" si="3"/>
        <v>#N/A</v>
      </c>
      <c r="J68" s="121" t="e">
        <f t="shared" si="3"/>
        <v>#N/A</v>
      </c>
      <c r="K68" s="121" t="e">
        <f t="shared" si="3"/>
        <v>#N/A</v>
      </c>
      <c r="L68" s="121" t="e">
        <f t="shared" si="3"/>
        <v>#N/A</v>
      </c>
      <c r="M68" s="121" t="e">
        <f t="shared" si="3"/>
        <v>#N/A</v>
      </c>
      <c r="N68" s="121" t="e">
        <f t="shared" si="3"/>
        <v>#N/A</v>
      </c>
      <c r="O68" s="121" t="e">
        <f t="shared" si="3"/>
        <v>#N/A</v>
      </c>
      <c r="P68" s="121" t="e">
        <f t="shared" si="3"/>
        <v>#N/A</v>
      </c>
      <c r="Q68" s="15">
        <f>COUNT(H68,J68,L68,N68)</f>
        <v>0</v>
      </c>
      <c r="R68" s="15">
        <f>COUNT(H68,J68,L68,M68)</f>
        <v>0</v>
      </c>
    </row>
    <row r="69" spans="1:18" ht="19" hidden="1" customHeight="1" x14ac:dyDescent="0.3">
      <c r="A69" s="125"/>
      <c r="B69" s="126" t="s">
        <v>376</v>
      </c>
      <c r="C69" s="16"/>
      <c r="D69" s="16"/>
      <c r="F69" s="15" t="e">
        <f>IF(ISNUMBER(F66),F66,F63)</f>
        <v>#N/A</v>
      </c>
      <c r="G69" s="15" t="e">
        <f t="shared" ref="G69:P69" si="4">IF(ISNUMBER(G66),G66,G63)</f>
        <v>#N/A</v>
      </c>
      <c r="H69" s="15" t="e">
        <f t="shared" si="4"/>
        <v>#N/A</v>
      </c>
      <c r="I69" s="15" t="e">
        <f t="shared" si="4"/>
        <v>#N/A</v>
      </c>
      <c r="J69" s="15" t="e">
        <f t="shared" si="4"/>
        <v>#N/A</v>
      </c>
      <c r="K69" s="15" t="e">
        <f t="shared" si="4"/>
        <v>#N/A</v>
      </c>
      <c r="L69" s="15" t="e">
        <f t="shared" si="4"/>
        <v>#N/A</v>
      </c>
      <c r="M69" s="15" t="e">
        <f t="shared" si="4"/>
        <v>#N/A</v>
      </c>
      <c r="N69" s="15" t="e">
        <f t="shared" si="4"/>
        <v>#N/A</v>
      </c>
      <c r="O69" s="15" t="e">
        <f t="shared" si="4"/>
        <v>#N/A</v>
      </c>
      <c r="P69" s="15" t="e">
        <f t="shared" si="4"/>
        <v>#N/A</v>
      </c>
      <c r="Q69" s="15" t="e">
        <f>AVERAGE(H69,J69,L69,N69)</f>
        <v>#N/A</v>
      </c>
      <c r="R69" s="15" t="e">
        <f>AVERAGE(H69,J69,L69,M69)</f>
        <v>#N/A</v>
      </c>
    </row>
    <row r="70" spans="1:18" ht="19" hidden="1" customHeight="1" x14ac:dyDescent="0.3">
      <c r="A70" s="125"/>
      <c r="B70" s="126" t="s">
        <v>377</v>
      </c>
      <c r="C70" s="16"/>
      <c r="D70" s="16"/>
      <c r="F70" s="15" t="e">
        <f>IF(OR(ISNUMBER(F65),ISNUMBER(F68)),#N/A,F69)</f>
        <v>#N/A</v>
      </c>
      <c r="G70" s="15" t="e">
        <f t="shared" ref="G70:P70" si="5">IF(OR(ISNUMBER(G65),ISNUMBER(G68)),#N/A,G69)</f>
        <v>#N/A</v>
      </c>
      <c r="H70" s="15" t="e">
        <f t="shared" si="5"/>
        <v>#N/A</v>
      </c>
      <c r="I70" s="15" t="e">
        <f t="shared" si="5"/>
        <v>#N/A</v>
      </c>
      <c r="J70" s="15" t="e">
        <f t="shared" si="5"/>
        <v>#N/A</v>
      </c>
      <c r="K70" s="15" t="e">
        <f t="shared" si="5"/>
        <v>#N/A</v>
      </c>
      <c r="L70" s="15" t="e">
        <f t="shared" si="5"/>
        <v>#N/A</v>
      </c>
      <c r="M70" s="15" t="e">
        <f t="shared" si="5"/>
        <v>#N/A</v>
      </c>
      <c r="N70" s="15" t="e">
        <f t="shared" si="5"/>
        <v>#N/A</v>
      </c>
      <c r="O70" s="15" t="e">
        <f t="shared" si="5"/>
        <v>#N/A</v>
      </c>
      <c r="P70" s="15" t="e">
        <f t="shared" si="5"/>
        <v>#N/A</v>
      </c>
    </row>
    <row r="71" spans="1:18" ht="19" hidden="1" customHeight="1" thickBot="1" x14ac:dyDescent="0.35">
      <c r="A71" s="125"/>
      <c r="C71" s="16"/>
      <c r="D71" s="16"/>
    </row>
    <row r="72" spans="1:18" ht="19" hidden="1" customHeight="1" x14ac:dyDescent="0.35">
      <c r="A72" s="290" t="s">
        <v>328</v>
      </c>
      <c r="B72" s="118" t="s">
        <v>378</v>
      </c>
      <c r="C72" s="119"/>
      <c r="D72" s="120"/>
      <c r="F72" s="121" t="e">
        <f>IF(O32="",#N/A,IF(ISNUMBER(O32),O32,VALUE(LEFT(O32,(MIN(FIND({"+","*"},O32&amp;"+,*"))-1)))))</f>
        <v>#N/A</v>
      </c>
      <c r="G72" s="121" t="e">
        <f>IF(P32="",#N/A,IF(ISNUMBER(P32),P32,VALUE(LEFT(P32,(MIN(FIND({"+","*"},P32&amp;"+,*"))-1)))))</f>
        <v>#N/A</v>
      </c>
      <c r="H72" s="121" t="e">
        <f>IF(Q32="",#N/A,IF(ISNUMBER(Q32),Q32,VALUE(LEFT(Q32,(MIN(FIND({"+","*"},Q32&amp;"+,*"))-1)))))</f>
        <v>#N/A</v>
      </c>
      <c r="I72" s="121" t="e">
        <f>IF(R32="",#N/A,IF(ISNUMBER(R32),R32,VALUE(LEFT(R32,(MIN(FIND({"+","*"},R32&amp;"+,*"))-1)))))</f>
        <v>#N/A</v>
      </c>
      <c r="J72" s="121" t="e">
        <f>IF(S32="",#N/A,IF(ISNUMBER(S32),S32,VALUE(LEFT(S32,(MIN(FIND({"+","*"},S32&amp;"+,*"))-1)))))</f>
        <v>#N/A</v>
      </c>
      <c r="K72" s="121" t="e">
        <f>IF(T32="",#N/A,IF(ISNUMBER(T32),T32,VALUE(LEFT(T32,(MIN(FIND({"+","*"},T32&amp;"+,*"))-1)))))</f>
        <v>#N/A</v>
      </c>
      <c r="L72" s="121" t="e">
        <f>IF(U32="",#N/A,IF(ISNUMBER(U32),U32,VALUE(LEFT(U32,(MIN(FIND({"+","*"},U32&amp;"+,*"))-1)))))</f>
        <v>#N/A</v>
      </c>
      <c r="M72" s="121" t="e">
        <f>IF(V32="",#N/A,IF(ISNUMBER(V32),V32,VALUE(LEFT(V32,(MIN(FIND({"+","*"},V32&amp;"+,*"))-1)))))</f>
        <v>#N/A</v>
      </c>
      <c r="N72" s="121" t="e">
        <f>IF(W32="",#N/A,IF(ISNUMBER(W32),W32,VALUE(LEFT(W32,(MIN(FIND({"+","*"},W32&amp;"+,*"))-1)))))</f>
        <v>#N/A</v>
      </c>
      <c r="O72" s="121" t="e">
        <f>IF(X32="",#N/A,IF(ISNUMBER(X32),X32,VALUE(LEFT(X32,(MIN(FIND({"+","*"},X32&amp;"+,*"))-1)))))</f>
        <v>#N/A</v>
      </c>
      <c r="P72" s="121" t="e">
        <f>IF(Y32="",#N/A,IF(ISNUMBER(Y32),Y32,VALUE(LEFT(Y32,(MIN(FIND({"+","*"},Y32&amp;"+,*"))-1)))))</f>
        <v>#N/A</v>
      </c>
    </row>
    <row r="73" spans="1:18" ht="19" hidden="1" customHeight="1" x14ac:dyDescent="0.35">
      <c r="A73" s="291"/>
      <c r="B73" s="113" t="s">
        <v>379</v>
      </c>
      <c r="C73" s="122"/>
      <c r="D73" s="123"/>
      <c r="F73" s="121" t="e">
        <f>IF(ISNUMBER(FIND("*",O32)),F72+3,#N/A)</f>
        <v>#N/A</v>
      </c>
      <c r="G73" s="121" t="e">
        <f t="shared" ref="G73:P73" si="6">IF(ISNUMBER(FIND("*",P32)),G72+3,#N/A)</f>
        <v>#N/A</v>
      </c>
      <c r="H73" s="121" t="e">
        <f t="shared" si="6"/>
        <v>#N/A</v>
      </c>
      <c r="I73" s="121" t="e">
        <f t="shared" si="6"/>
        <v>#N/A</v>
      </c>
      <c r="J73" s="121" t="e">
        <f t="shared" si="6"/>
        <v>#N/A</v>
      </c>
      <c r="K73" s="121" t="e">
        <f t="shared" si="6"/>
        <v>#N/A</v>
      </c>
      <c r="L73" s="121" t="e">
        <f t="shared" si="6"/>
        <v>#N/A</v>
      </c>
      <c r="M73" s="121" t="e">
        <f t="shared" si="6"/>
        <v>#N/A</v>
      </c>
      <c r="N73" s="121" t="e">
        <f t="shared" si="6"/>
        <v>#N/A</v>
      </c>
      <c r="O73" s="121" t="e">
        <f t="shared" si="6"/>
        <v>#N/A</v>
      </c>
      <c r="P73" s="121" t="e">
        <f t="shared" si="6"/>
        <v>#N/A</v>
      </c>
    </row>
    <row r="74" spans="1:18" ht="19" hidden="1" customHeight="1" x14ac:dyDescent="0.35">
      <c r="A74" s="291"/>
      <c r="B74" s="113" t="s">
        <v>380</v>
      </c>
      <c r="C74" s="122"/>
      <c r="D74" s="123"/>
      <c r="F74" s="121" t="e">
        <f>IF(ISNUMBER(FIND("+",O32)),F72,#N/A)</f>
        <v>#N/A</v>
      </c>
      <c r="G74" s="121" t="e">
        <f t="shared" ref="G74:P74" si="7">IF(ISNUMBER(FIND("+",P32)),G72,#N/A)</f>
        <v>#N/A</v>
      </c>
      <c r="H74" s="121" t="e">
        <f t="shared" si="7"/>
        <v>#N/A</v>
      </c>
      <c r="I74" s="121" t="e">
        <f t="shared" si="7"/>
        <v>#N/A</v>
      </c>
      <c r="J74" s="121" t="e">
        <f t="shared" si="7"/>
        <v>#N/A</v>
      </c>
      <c r="K74" s="121" t="e">
        <f t="shared" si="7"/>
        <v>#N/A</v>
      </c>
      <c r="L74" s="121" t="e">
        <f t="shared" si="7"/>
        <v>#N/A</v>
      </c>
      <c r="M74" s="121" t="e">
        <f t="shared" si="7"/>
        <v>#N/A</v>
      </c>
      <c r="N74" s="121" t="e">
        <f t="shared" si="7"/>
        <v>#N/A</v>
      </c>
      <c r="O74" s="121" t="e">
        <f t="shared" si="7"/>
        <v>#N/A</v>
      </c>
      <c r="P74" s="121" t="e">
        <f t="shared" si="7"/>
        <v>#N/A</v>
      </c>
      <c r="Q74" s="15">
        <f>COUNT(H74,J74,L74,N74)</f>
        <v>0</v>
      </c>
      <c r="R74" s="15">
        <f>COUNT(H74,J74,L74,M74)</f>
        <v>0</v>
      </c>
    </row>
    <row r="75" spans="1:18" ht="19" hidden="1" customHeight="1" thickBot="1" x14ac:dyDescent="0.4">
      <c r="A75" s="292"/>
      <c r="B75" s="116" t="s">
        <v>381</v>
      </c>
      <c r="C75" s="127"/>
      <c r="D75" s="128"/>
      <c r="F75" s="121" t="e">
        <f>IF(O33="",#N/A,IF(ISNUMBER(O33),O33,VALUE(LEFT(O33,(MIN(FIND({"+","*"},O33&amp;"+,*"))-1)))))</f>
        <v>#N/A</v>
      </c>
      <c r="G75" s="121" t="e">
        <f>IF(P33="",#N/A,IF(ISNUMBER(P33),P33,VALUE(LEFT(P33,(MIN(FIND({"+","*"},P33&amp;"+,*"))-1)))))</f>
        <v>#N/A</v>
      </c>
      <c r="H75" s="121" t="e">
        <f>IF(Q33="",#N/A,IF(ISNUMBER(Q33),Q33,VALUE(LEFT(Q33,(MIN(FIND({"+","*"},Q33&amp;"+,*"))-1)))))</f>
        <v>#N/A</v>
      </c>
      <c r="I75" s="121" t="e">
        <f>IF(R33="",#N/A,IF(ISNUMBER(R33),R33,VALUE(LEFT(R33,(MIN(FIND({"+","*"},R33&amp;"+,*"))-1)))))</f>
        <v>#N/A</v>
      </c>
      <c r="J75" s="121" t="e">
        <f>IF(S33="",#N/A,IF(ISNUMBER(S33),S33,VALUE(LEFT(S33,(MIN(FIND({"+","*"},S33&amp;"+,*"))-1)))))</f>
        <v>#N/A</v>
      </c>
      <c r="K75" s="121" t="e">
        <f>IF(T33="",#N/A,IF(ISNUMBER(T33),T33,VALUE(LEFT(T33,(MIN(FIND({"+","*"},T33&amp;"+,*"))-1)))))</f>
        <v>#N/A</v>
      </c>
      <c r="L75" s="121" t="e">
        <f>IF(U33="",#N/A,IF(ISNUMBER(U33),U33,VALUE(LEFT(U33,(MIN(FIND({"+","*"},U33&amp;"+,*"))-1)))))</f>
        <v>#N/A</v>
      </c>
      <c r="M75" s="121" t="e">
        <f>IF(V33="",#N/A,IF(ISNUMBER(V33),V33,VALUE(LEFT(V33,(MIN(FIND({"+","*"},V33&amp;"+,*"))-1)))))</f>
        <v>#N/A</v>
      </c>
      <c r="N75" s="121" t="e">
        <f>IF(W33="",#N/A,IF(ISNUMBER(W33),W33,VALUE(LEFT(W33,(MIN(FIND({"+","*"},W33&amp;"+,*"))-1)))))</f>
        <v>#N/A</v>
      </c>
      <c r="O75" s="121" t="e">
        <f>IF(X33="",#N/A,IF(ISNUMBER(X33),X33,VALUE(LEFT(X33,(MIN(FIND({"+","*"},X33&amp;"+,*"))-1)))))</f>
        <v>#N/A</v>
      </c>
      <c r="P75" s="121" t="e">
        <f>IF(Y33="",#N/A,IF(ISNUMBER(Y33),Y33,VALUE(LEFT(Y33,(MIN(FIND({"+","*"},Y33&amp;"+,*"))-1)))))</f>
        <v>#N/A</v>
      </c>
    </row>
    <row r="76" spans="1:18" ht="19" hidden="1" customHeight="1" x14ac:dyDescent="0.35">
      <c r="A76" s="124"/>
      <c r="B76" s="113" t="s">
        <v>382</v>
      </c>
      <c r="C76" s="122"/>
      <c r="D76" s="122"/>
      <c r="F76" s="121" t="e">
        <f>IF(ISNUMBER(FIND("*",O33)),F75+4,#N/A)</f>
        <v>#N/A</v>
      </c>
      <c r="G76" s="121" t="e">
        <f t="shared" ref="G76:P76" si="8">IF(ISNUMBER(FIND("*",P33)),G75+4,#N/A)</f>
        <v>#N/A</v>
      </c>
      <c r="H76" s="121" t="e">
        <f t="shared" si="8"/>
        <v>#N/A</v>
      </c>
      <c r="I76" s="121" t="e">
        <f t="shared" si="8"/>
        <v>#N/A</v>
      </c>
      <c r="J76" s="121" t="e">
        <f t="shared" si="8"/>
        <v>#N/A</v>
      </c>
      <c r="K76" s="121" t="e">
        <f t="shared" si="8"/>
        <v>#N/A</v>
      </c>
      <c r="L76" s="121" t="e">
        <f t="shared" si="8"/>
        <v>#N/A</v>
      </c>
      <c r="M76" s="121" t="e">
        <f t="shared" si="8"/>
        <v>#N/A</v>
      </c>
      <c r="N76" s="121" t="e">
        <f t="shared" si="8"/>
        <v>#N/A</v>
      </c>
      <c r="O76" s="121" t="e">
        <f t="shared" si="8"/>
        <v>#N/A</v>
      </c>
      <c r="P76" s="121" t="e">
        <f t="shared" si="8"/>
        <v>#N/A</v>
      </c>
    </row>
    <row r="77" spans="1:18" ht="19" hidden="1" customHeight="1" x14ac:dyDescent="0.35">
      <c r="A77" s="124"/>
      <c r="B77" s="113" t="s">
        <v>383</v>
      </c>
      <c r="C77" s="122"/>
      <c r="D77" s="122"/>
      <c r="F77" s="121" t="e">
        <f>IF(ISNUMBER(FIND("+",O33)),F75,#N/A)</f>
        <v>#N/A</v>
      </c>
      <c r="G77" s="121" t="e">
        <f t="shared" ref="G77:P77" si="9">IF(ISNUMBER(FIND("+",P33)),G75,#N/A)</f>
        <v>#N/A</v>
      </c>
      <c r="H77" s="121" t="e">
        <f t="shared" si="9"/>
        <v>#N/A</v>
      </c>
      <c r="I77" s="121" t="e">
        <f t="shared" si="9"/>
        <v>#N/A</v>
      </c>
      <c r="J77" s="121" t="e">
        <f t="shared" si="9"/>
        <v>#N/A</v>
      </c>
      <c r="K77" s="121" t="e">
        <f t="shared" si="9"/>
        <v>#N/A</v>
      </c>
      <c r="L77" s="121" t="e">
        <f t="shared" si="9"/>
        <v>#N/A</v>
      </c>
      <c r="M77" s="121" t="e">
        <f t="shared" si="9"/>
        <v>#N/A</v>
      </c>
      <c r="N77" s="121" t="e">
        <f t="shared" si="9"/>
        <v>#N/A</v>
      </c>
      <c r="O77" s="121" t="e">
        <f t="shared" si="9"/>
        <v>#N/A</v>
      </c>
      <c r="P77" s="121" t="e">
        <f t="shared" si="9"/>
        <v>#N/A</v>
      </c>
      <c r="Q77" s="15">
        <f>COUNT(H77,J77,L77,N77)</f>
        <v>0</v>
      </c>
      <c r="R77" s="15">
        <f>COUNT(H77,J77,L77,M77)</f>
        <v>0</v>
      </c>
    </row>
    <row r="78" spans="1:18" ht="19" hidden="1" customHeight="1" x14ac:dyDescent="0.3">
      <c r="A78" s="124"/>
      <c r="B78" s="113" t="s">
        <v>384</v>
      </c>
      <c r="C78" s="122"/>
      <c r="D78" s="122"/>
      <c r="F78" s="15" t="e">
        <f>IF(ISNUMBER(F75),F75,F72)</f>
        <v>#N/A</v>
      </c>
      <c r="G78" s="15" t="e">
        <f t="shared" ref="G78:P78" si="10">IF(ISNUMBER(G75),G75,G72)</f>
        <v>#N/A</v>
      </c>
      <c r="H78" s="15" t="e">
        <f t="shared" si="10"/>
        <v>#N/A</v>
      </c>
      <c r="I78" s="15" t="e">
        <f t="shared" si="10"/>
        <v>#N/A</v>
      </c>
      <c r="J78" s="15" t="e">
        <f t="shared" si="10"/>
        <v>#N/A</v>
      </c>
      <c r="K78" s="15" t="e">
        <f t="shared" si="10"/>
        <v>#N/A</v>
      </c>
      <c r="L78" s="15" t="e">
        <f t="shared" si="10"/>
        <v>#N/A</v>
      </c>
      <c r="M78" s="15" t="e">
        <f t="shared" si="10"/>
        <v>#N/A</v>
      </c>
      <c r="N78" s="15" t="e">
        <f t="shared" si="10"/>
        <v>#N/A</v>
      </c>
      <c r="O78" s="15" t="e">
        <f t="shared" si="10"/>
        <v>#N/A</v>
      </c>
      <c r="P78" s="15" t="e">
        <f t="shared" si="10"/>
        <v>#N/A</v>
      </c>
      <c r="Q78" s="15" t="e">
        <f>AVERAGE(H78,J78,L78,N78)</f>
        <v>#N/A</v>
      </c>
      <c r="R78" s="15" t="e">
        <f>AVERAGE(H78,J78,L78,M78)</f>
        <v>#N/A</v>
      </c>
    </row>
    <row r="79" spans="1:18" ht="19" hidden="1" customHeight="1" x14ac:dyDescent="0.3">
      <c r="A79" s="16"/>
      <c r="B79" s="126" t="s">
        <v>377</v>
      </c>
      <c r="C79" s="16"/>
      <c r="D79" s="16"/>
      <c r="F79" s="15" t="e">
        <f>IF(OR(ISNUMBER(F74),ISNUMBER(F77)),#N/A,F78)</f>
        <v>#N/A</v>
      </c>
      <c r="G79" s="15" t="e">
        <f t="shared" ref="G79:P79" si="11">IF(OR(ISNUMBER(G74),ISNUMBER(G77)),#N/A,G78)</f>
        <v>#N/A</v>
      </c>
      <c r="H79" s="15" t="e">
        <f t="shared" si="11"/>
        <v>#N/A</v>
      </c>
      <c r="I79" s="15" t="e">
        <f t="shared" si="11"/>
        <v>#N/A</v>
      </c>
      <c r="J79" s="15" t="e">
        <f t="shared" si="11"/>
        <v>#N/A</v>
      </c>
      <c r="K79" s="15" t="e">
        <f t="shared" si="11"/>
        <v>#N/A</v>
      </c>
      <c r="L79" s="15" t="e">
        <f t="shared" si="11"/>
        <v>#N/A</v>
      </c>
      <c r="M79" s="15" t="e">
        <f t="shared" si="11"/>
        <v>#N/A</v>
      </c>
      <c r="N79" s="15" t="e">
        <f t="shared" si="11"/>
        <v>#N/A</v>
      </c>
      <c r="O79" s="15" t="e">
        <f t="shared" si="11"/>
        <v>#N/A</v>
      </c>
      <c r="P79" s="15" t="e">
        <f t="shared" si="11"/>
        <v>#N/A</v>
      </c>
    </row>
    <row r="80" spans="1:18" ht="19" hidden="1" customHeight="1" thickBot="1" x14ac:dyDescent="0.35">
      <c r="A80" s="16"/>
      <c r="B80" s="126"/>
      <c r="C80" s="16"/>
      <c r="D80" s="16"/>
    </row>
    <row r="81" spans="1:18" ht="19" hidden="1" customHeight="1" thickBot="1" x14ac:dyDescent="0.4">
      <c r="A81" s="129" t="s">
        <v>332</v>
      </c>
      <c r="B81" s="130" t="s">
        <v>385</v>
      </c>
      <c r="C81" s="131"/>
      <c r="D81" s="132"/>
      <c r="F81" s="121" t="e">
        <f>IF(A34="",#N/A,IF(ISNUMBER(A34),A34,VALUE(LEFT(A34,(MIN(FIND({"+","*"},A34&amp;"+,*"))-1)))))</f>
        <v>#N/A</v>
      </c>
      <c r="G81" s="121" t="e">
        <f>IF(B34="",#N/A,IF(ISNUMBER(B34),B34,VALUE(LEFT(B34,(MIN(FIND({"+","*"},B34&amp;"+,*"))-1)))))</f>
        <v>#N/A</v>
      </c>
      <c r="H81" s="121" t="e">
        <f>IF(C34="",#N/A,IF(ISNUMBER(C34),C34,VALUE(LEFT(C34,(MIN(FIND({"+","*"},C34&amp;"+,*"))-1)))))</f>
        <v>#N/A</v>
      </c>
      <c r="I81" s="121" t="e">
        <f>IF(D34="",#N/A,IF(ISNUMBER(D34),D34,VALUE(LEFT(D34,(MIN(FIND({"+","*"},D34&amp;"+,*"))-1)))))</f>
        <v>#N/A</v>
      </c>
      <c r="J81" s="121" t="e">
        <f>IF(E34="",#N/A,IF(ISNUMBER(E34),E34,VALUE(LEFT(E34,(MIN(FIND({"+","*"},E34&amp;"+,*"))-1)))))</f>
        <v>#N/A</v>
      </c>
      <c r="K81" s="121" t="e">
        <f>IF(F34="",#N/A,IF(ISNUMBER(F34),F34,VALUE(LEFT(F34,(MIN(FIND({"+","*"},F34&amp;"+,*"))-1)))))</f>
        <v>#N/A</v>
      </c>
      <c r="L81" s="121" t="e">
        <f>IF(G34="",#N/A,IF(ISNUMBER(G34),G34,VALUE(LEFT(G34,(MIN(FIND({"+","*"},G34&amp;"+,*"))-1)))))</f>
        <v>#N/A</v>
      </c>
      <c r="M81" s="121" t="e">
        <f>IF(H34="",#N/A,IF(ISNUMBER(H34),H34,VALUE(LEFT(H34,(MIN(FIND({"+","*"},H34&amp;"+,*"))-1)))))</f>
        <v>#N/A</v>
      </c>
      <c r="N81" s="121" t="e">
        <f>IF(I34="",#N/A,IF(ISNUMBER(I34),I34,VALUE(LEFT(I34,(MIN(FIND({"+","*"},I34&amp;"+,*"))-1)))))</f>
        <v>#N/A</v>
      </c>
      <c r="O81" s="121" t="e">
        <f>IF(J34="",#N/A,IF(ISNUMBER(J34),J34,VALUE(LEFT(J34,(MIN(FIND({"+","*"},J34&amp;"+,*"))-1)))))</f>
        <v>#N/A</v>
      </c>
      <c r="P81" s="121" t="e">
        <f>IF(K34="",#N/A,IF(ISNUMBER(K34),K34,VALUE(LEFT(K34,(MIN(FIND({"+","*"},K34&amp;"+,*"))-1)))))</f>
        <v>#N/A</v>
      </c>
    </row>
    <row r="82" spans="1:18" ht="19" hidden="1" customHeight="1" x14ac:dyDescent="0.35">
      <c r="A82" s="124"/>
      <c r="B82" s="113" t="s">
        <v>386</v>
      </c>
      <c r="C82" s="122"/>
      <c r="D82" s="122"/>
      <c r="F82"/>
      <c r="G82"/>
      <c r="H82" s="121" t="e">
        <f>IF(ISNUMBER(FIND("*",C34)),H81+3,#N/A)</f>
        <v>#N/A</v>
      </c>
      <c r="I82" s="121" t="e">
        <f t="shared" ref="I82:O82" si="12">IF(ISNUMBER(FIND("*",D34)),I81+3,#N/A)</f>
        <v>#N/A</v>
      </c>
      <c r="J82" s="121" t="e">
        <f t="shared" si="12"/>
        <v>#N/A</v>
      </c>
      <c r="K82" s="121" t="e">
        <f t="shared" si="12"/>
        <v>#N/A</v>
      </c>
      <c r="L82" s="121" t="e">
        <f t="shared" si="12"/>
        <v>#N/A</v>
      </c>
      <c r="M82" s="121" t="e">
        <f t="shared" si="12"/>
        <v>#N/A</v>
      </c>
      <c r="N82" s="121" t="e">
        <f t="shared" si="12"/>
        <v>#N/A</v>
      </c>
      <c r="O82" s="121" t="e">
        <f t="shared" si="12"/>
        <v>#N/A</v>
      </c>
      <c r="P82"/>
    </row>
    <row r="83" spans="1:18" ht="19" hidden="1" customHeight="1" thickBot="1" x14ac:dyDescent="0.4">
      <c r="A83" s="124"/>
      <c r="B83" s="113" t="s">
        <v>372</v>
      </c>
      <c r="C83" s="122"/>
      <c r="D83" s="122"/>
      <c r="F83"/>
      <c r="G83"/>
      <c r="H83" s="121" t="e">
        <f>IF(ISNUMBER(FIND("+",C34)),H81,#N/A)</f>
        <v>#N/A</v>
      </c>
      <c r="I83" s="121" t="e">
        <f t="shared" ref="I83:O83" si="13">IF(ISNUMBER(FIND("+",D34)),I81,#N/A)</f>
        <v>#N/A</v>
      </c>
      <c r="J83" s="121" t="e">
        <f t="shared" si="13"/>
        <v>#N/A</v>
      </c>
      <c r="K83" s="121" t="e">
        <f t="shared" si="13"/>
        <v>#N/A</v>
      </c>
      <c r="L83" s="121" t="e">
        <f t="shared" si="13"/>
        <v>#N/A</v>
      </c>
      <c r="M83" s="121" t="e">
        <f t="shared" si="13"/>
        <v>#N/A</v>
      </c>
      <c r="N83" s="121" t="e">
        <f t="shared" si="13"/>
        <v>#N/A</v>
      </c>
      <c r="O83" s="121" t="e">
        <f t="shared" si="13"/>
        <v>#N/A</v>
      </c>
      <c r="P83"/>
      <c r="Q83" s="15">
        <f>COUNT(H83,J83,L83,N83)</f>
        <v>0</v>
      </c>
      <c r="R83" s="15">
        <f>COUNT(H83,J83,L83,M83)</f>
        <v>0</v>
      </c>
    </row>
    <row r="84" spans="1:18" ht="19" hidden="1" customHeight="1" x14ac:dyDescent="0.35">
      <c r="A84" s="124"/>
      <c r="B84" s="118" t="s">
        <v>387</v>
      </c>
      <c r="C84" s="119"/>
      <c r="D84" s="120"/>
      <c r="F84"/>
      <c r="G84"/>
      <c r="H84" s="121" t="e">
        <f>IF(C35="",#N/A,IF(ISNUMBER(C35),C35,VALUE(LEFT(C35,(MIN(FIND({"+","*"},C35&amp;"+,*"))-1)))))</f>
        <v>#N/A</v>
      </c>
      <c r="I84" s="121" t="e">
        <f>IF(D35="",#N/A,IF(ISNUMBER(D35),D35,VALUE(LEFT(D35,(MIN(FIND({"+","*"},D35&amp;"+,*"))-1)))))</f>
        <v>#N/A</v>
      </c>
      <c r="J84" s="121" t="e">
        <f>IF(E35="",#N/A,IF(ISNUMBER(E35),E35,VALUE(LEFT(E35,(MIN(FIND({"+","*"},E35&amp;"+,*"))-1)))))</f>
        <v>#N/A</v>
      </c>
      <c r="K84" s="121" t="e">
        <f>IF(F35="",#N/A,IF(ISNUMBER(F35),F35,VALUE(LEFT(F35,(MIN(FIND({"+","*"},F35&amp;"+,*"))-1)))))</f>
        <v>#N/A</v>
      </c>
      <c r="L84" s="121" t="e">
        <f>IF(G35="",#N/A,IF(ISNUMBER(G35),G35,VALUE(LEFT(G35,(MIN(FIND({"+","*"},G35&amp;"+,*"))-1)))))</f>
        <v>#N/A</v>
      </c>
      <c r="M84" s="121" t="e">
        <f>IF(H35="",#N/A,IF(ISNUMBER(H35),H35,VALUE(LEFT(H35,(MIN(FIND({"+","*"},H35&amp;"+,*"))-1)))))</f>
        <v>#N/A</v>
      </c>
      <c r="N84" s="121" t="e">
        <f>IF(I35="",#N/A,IF(ISNUMBER(I35),I35,VALUE(LEFT(I35,(MIN(FIND({"+","*"},I35&amp;"+,*"))-1)))))</f>
        <v>#N/A</v>
      </c>
      <c r="O84" s="121" t="e">
        <f>IF(J35="",#N/A,IF(ISNUMBER(J35),J35,VALUE(LEFT(J35,(MIN(FIND({"+","*"},J35&amp;"+,*"))-1)))))</f>
        <v>#N/A</v>
      </c>
      <c r="P84"/>
    </row>
    <row r="85" spans="1:18" ht="19" hidden="1" customHeight="1" x14ac:dyDescent="0.35">
      <c r="A85" s="124"/>
      <c r="B85" s="113" t="s">
        <v>388</v>
      </c>
      <c r="C85" s="122"/>
      <c r="D85" s="123"/>
      <c r="F85"/>
      <c r="G85"/>
      <c r="H85" s="121" t="e">
        <f>IF(ISNUMBER(FIND("*",C35)),H84+4,#N/A)</f>
        <v>#N/A</v>
      </c>
      <c r="I85" s="121" t="e">
        <f t="shared" ref="I85:O85" si="14">IF(ISNUMBER(FIND("*",D35)),I84+4,#N/A)</f>
        <v>#N/A</v>
      </c>
      <c r="J85" s="121" t="e">
        <f t="shared" si="14"/>
        <v>#N/A</v>
      </c>
      <c r="K85" s="121" t="e">
        <f t="shared" si="14"/>
        <v>#N/A</v>
      </c>
      <c r="L85" s="121" t="e">
        <f t="shared" si="14"/>
        <v>#N/A</v>
      </c>
      <c r="M85" s="121" t="e">
        <f t="shared" si="14"/>
        <v>#N/A</v>
      </c>
      <c r="N85" s="121" t="e">
        <f t="shared" si="14"/>
        <v>#N/A</v>
      </c>
      <c r="O85" s="121" t="e">
        <f t="shared" si="14"/>
        <v>#N/A</v>
      </c>
      <c r="P85"/>
    </row>
    <row r="86" spans="1:18" ht="19" hidden="1" customHeight="1" x14ac:dyDescent="0.35">
      <c r="A86" s="124"/>
      <c r="B86" s="113" t="s">
        <v>375</v>
      </c>
      <c r="C86" s="122"/>
      <c r="D86" s="123"/>
      <c r="F86"/>
      <c r="G86"/>
      <c r="H86" s="121" t="e">
        <f>IF(ISNUMBER(FIND("+",C35)),H84,#N/A)</f>
        <v>#N/A</v>
      </c>
      <c r="I86" s="121" t="e">
        <f t="shared" ref="I86:O86" si="15">IF(ISNUMBER(FIND("+",D35)),I84,#N/A)</f>
        <v>#N/A</v>
      </c>
      <c r="J86" s="121" t="e">
        <f t="shared" si="15"/>
        <v>#N/A</v>
      </c>
      <c r="K86" s="121" t="e">
        <f t="shared" si="15"/>
        <v>#N/A</v>
      </c>
      <c r="L86" s="121" t="e">
        <f t="shared" si="15"/>
        <v>#N/A</v>
      </c>
      <c r="M86" s="121" t="e">
        <f t="shared" si="15"/>
        <v>#N/A</v>
      </c>
      <c r="N86" s="121" t="e">
        <f t="shared" si="15"/>
        <v>#N/A</v>
      </c>
      <c r="O86" s="121" t="e">
        <f t="shared" si="15"/>
        <v>#N/A</v>
      </c>
      <c r="P86"/>
      <c r="Q86" s="15">
        <f>COUNT(H86,J86,L86,N86)</f>
        <v>0</v>
      </c>
      <c r="R86" s="15">
        <f>COUNT(H86,J86,L86,M86)</f>
        <v>0</v>
      </c>
    </row>
    <row r="87" spans="1:18" ht="19" hidden="1" customHeight="1" x14ac:dyDescent="0.3">
      <c r="A87" s="124"/>
      <c r="B87" s="113" t="s">
        <v>389</v>
      </c>
      <c r="C87" s="122"/>
      <c r="D87" s="122"/>
      <c r="F87"/>
      <c r="G87"/>
      <c r="H87" s="15" t="e">
        <f t="shared" ref="H87:O87" si="16">IF(ISNUMBER(H84),H84,H81)</f>
        <v>#N/A</v>
      </c>
      <c r="I87" s="15" t="e">
        <f t="shared" si="16"/>
        <v>#N/A</v>
      </c>
      <c r="J87" s="15" t="e">
        <f t="shared" si="16"/>
        <v>#N/A</v>
      </c>
      <c r="K87" s="15" t="e">
        <f t="shared" si="16"/>
        <v>#N/A</v>
      </c>
      <c r="L87" s="15" t="e">
        <f t="shared" si="16"/>
        <v>#N/A</v>
      </c>
      <c r="M87" s="15" t="e">
        <f t="shared" si="16"/>
        <v>#N/A</v>
      </c>
      <c r="N87" s="15" t="e">
        <f t="shared" si="16"/>
        <v>#N/A</v>
      </c>
      <c r="O87" s="15" t="e">
        <f t="shared" si="16"/>
        <v>#N/A</v>
      </c>
      <c r="P87"/>
      <c r="Q87" s="15" t="e">
        <f>AVERAGE(H87,J87,L87,N87)</f>
        <v>#N/A</v>
      </c>
      <c r="R87" s="15" t="e">
        <f>AVERAGE(H87,J87,L87,M87)</f>
        <v>#N/A</v>
      </c>
    </row>
    <row r="88" spans="1:18" ht="19" hidden="1" customHeight="1" thickBot="1" x14ac:dyDescent="0.35">
      <c r="A88" s="125"/>
      <c r="B88" s="126"/>
      <c r="C88" s="16"/>
      <c r="D88" s="16"/>
      <c r="F88"/>
      <c r="G88"/>
      <c r="P88"/>
    </row>
    <row r="89" spans="1:18" ht="19" hidden="1" customHeight="1" x14ac:dyDescent="0.35">
      <c r="A89" s="290" t="s">
        <v>332</v>
      </c>
      <c r="B89" s="113" t="s">
        <v>390</v>
      </c>
      <c r="C89" s="122"/>
      <c r="D89" s="122"/>
      <c r="F89" s="121" t="e">
        <f>IF(O34="",#N/A,IF(ISNUMBER(O34),O34,VALUE(LEFT(O34,(MIN(FIND({"+","*"},O34&amp;"+,*"))-1)))))</f>
        <v>#N/A</v>
      </c>
      <c r="G89" s="121" t="e">
        <f>IF(P34="",#N/A,IF(ISNUMBER(P34),P34,VALUE(LEFT(P34,(MIN(FIND({"+","*"},P34&amp;"+,*"))-1)))))</f>
        <v>#N/A</v>
      </c>
      <c r="H89" s="121" t="e">
        <f>IF(Q34="",#N/A,IF(ISNUMBER(Q34),Q34,VALUE(LEFT(Q34,(MIN(FIND({"+","*"},Q34&amp;"+,*"))-1)))))</f>
        <v>#N/A</v>
      </c>
      <c r="I89" s="121" t="e">
        <f>IF(R34="",#N/A,IF(ISNUMBER(R34),R34,VALUE(LEFT(R34,(MIN(FIND({"+","*"},R34&amp;"+,*"))-1)))))</f>
        <v>#N/A</v>
      </c>
      <c r="J89" s="121" t="e">
        <f>IF(S34="",#N/A,IF(ISNUMBER(S34),S34,VALUE(LEFT(S34,(MIN(FIND({"+","*"},S34&amp;"+,*"))-1)))))</f>
        <v>#N/A</v>
      </c>
      <c r="K89" s="121" t="e">
        <f>IF(T34="",#N/A,IF(ISNUMBER(T34),T34,VALUE(LEFT(T34,(MIN(FIND({"+","*"},T34&amp;"+,*"))-1)))))</f>
        <v>#N/A</v>
      </c>
      <c r="L89" s="121" t="e">
        <f>IF(U34="",#N/A,IF(ISNUMBER(U34),U34,VALUE(LEFT(U34,(MIN(FIND({"+","*"},U34&amp;"+,*"))-1)))))</f>
        <v>#N/A</v>
      </c>
      <c r="M89" s="121" t="e">
        <f>IF(V34="",#N/A,IF(ISNUMBER(V34),V34,VALUE(LEFT(V34,(MIN(FIND({"+","*"},V34&amp;"+,*"))-1)))))</f>
        <v>#N/A</v>
      </c>
      <c r="N89" s="121" t="e">
        <f>IF(W34="",#N/A,IF(ISNUMBER(W34),W34,VALUE(LEFT(W34,(MIN(FIND({"+","*"},W34&amp;"+,*"))-1)))))</f>
        <v>#N/A</v>
      </c>
      <c r="O89" s="121" t="e">
        <f>IF(X34="",#N/A,IF(ISNUMBER(X34),X34,VALUE(LEFT(X34,(MIN(FIND({"+","*"},X34&amp;"+,*"))-1)))))</f>
        <v>#N/A</v>
      </c>
      <c r="P89" s="121" t="e">
        <f>IF(Y34="",#N/A,IF(ISNUMBER(Y34),Y34,VALUE(LEFT(Y34,(MIN(FIND({"+","*"},Y34&amp;"+,*"))-1)))))</f>
        <v>#N/A</v>
      </c>
    </row>
    <row r="90" spans="1:18" ht="19" hidden="1" customHeight="1" x14ac:dyDescent="0.35">
      <c r="A90" s="291"/>
      <c r="B90" s="113" t="s">
        <v>391</v>
      </c>
      <c r="C90" s="122"/>
      <c r="D90" s="122"/>
      <c r="F90"/>
      <c r="G90"/>
      <c r="H90" s="121" t="e">
        <f>IF(ISNUMBER(FIND("*",Q34)),H89+3,#N/A)</f>
        <v>#N/A</v>
      </c>
      <c r="I90" s="121" t="e">
        <f t="shared" ref="I90:O90" si="17">IF(ISNUMBER(FIND("*",R34)),I89+3,#N/A)</f>
        <v>#N/A</v>
      </c>
      <c r="J90" s="121" t="e">
        <f t="shared" si="17"/>
        <v>#N/A</v>
      </c>
      <c r="K90" s="121" t="e">
        <f t="shared" si="17"/>
        <v>#N/A</v>
      </c>
      <c r="L90" s="121" t="e">
        <f t="shared" si="17"/>
        <v>#N/A</v>
      </c>
      <c r="M90" s="121" t="e">
        <f t="shared" si="17"/>
        <v>#N/A</v>
      </c>
      <c r="N90" s="121" t="e">
        <f t="shared" si="17"/>
        <v>#N/A</v>
      </c>
      <c r="O90" s="121" t="e">
        <f t="shared" si="17"/>
        <v>#N/A</v>
      </c>
      <c r="P90"/>
    </row>
    <row r="91" spans="1:18" ht="19" hidden="1" customHeight="1" x14ac:dyDescent="0.35">
      <c r="A91" s="291"/>
      <c r="B91" s="113" t="s">
        <v>380</v>
      </c>
      <c r="C91" s="122"/>
      <c r="D91" s="122"/>
      <c r="F91"/>
      <c r="G91"/>
      <c r="H91" s="121" t="e">
        <f>IF(ISNUMBER(FIND("+",Q34)),H89,#N/A)</f>
        <v>#N/A</v>
      </c>
      <c r="I91" s="121" t="e">
        <f t="shared" ref="I91:O91" si="18">IF(ISNUMBER(FIND("+",R34)),I89,#N/A)</f>
        <v>#N/A</v>
      </c>
      <c r="J91" s="121" t="e">
        <f t="shared" si="18"/>
        <v>#N/A</v>
      </c>
      <c r="K91" s="121" t="e">
        <f t="shared" si="18"/>
        <v>#N/A</v>
      </c>
      <c r="L91" s="121" t="e">
        <f t="shared" si="18"/>
        <v>#N/A</v>
      </c>
      <c r="M91" s="121" t="e">
        <f t="shared" si="18"/>
        <v>#N/A</v>
      </c>
      <c r="N91" s="121" t="e">
        <f t="shared" si="18"/>
        <v>#N/A</v>
      </c>
      <c r="O91" s="121" t="e">
        <f t="shared" si="18"/>
        <v>#N/A</v>
      </c>
      <c r="P91"/>
      <c r="Q91" s="15">
        <f>COUNT(H91,J91,L91,N91)</f>
        <v>0</v>
      </c>
      <c r="R91" s="15">
        <f>COUNT(H91,J91,L91,M91)</f>
        <v>0</v>
      </c>
    </row>
    <row r="92" spans="1:18" ht="19" hidden="1" customHeight="1" thickBot="1" x14ac:dyDescent="0.4">
      <c r="A92" s="292"/>
      <c r="B92" s="116" t="s">
        <v>381</v>
      </c>
      <c r="C92" s="127"/>
      <c r="D92" s="128"/>
      <c r="F92"/>
      <c r="G92"/>
      <c r="H92" s="121" t="e">
        <f>IF(Q35="",#N/A,IF(ISNUMBER(Q35),Q35,VALUE(LEFT(Q35,(MIN(FIND({"+","*"},Q35&amp;"+,*"))-1)))))</f>
        <v>#N/A</v>
      </c>
      <c r="I92" s="121" t="e">
        <f>IF(R35="",#N/A,IF(ISNUMBER(R35),R35,VALUE(LEFT(R35,(MIN(FIND({"+","*"},R35&amp;"+,*"))-1)))))</f>
        <v>#N/A</v>
      </c>
      <c r="J92" s="121" t="e">
        <f>IF(S35="",#N/A,IF(ISNUMBER(S35),S35,VALUE(LEFT(S35,(MIN(FIND({"+","*"},S35&amp;"+,*"))-1)))))</f>
        <v>#N/A</v>
      </c>
      <c r="K92" s="121" t="e">
        <f>IF(T35="",#N/A,IF(ISNUMBER(T35),T35,VALUE(LEFT(T35,(MIN(FIND({"+","*"},T35&amp;"+,*"))-1)))))</f>
        <v>#N/A</v>
      </c>
      <c r="L92" s="121" t="e">
        <f>IF(U35="",#N/A,IF(ISNUMBER(U35),U35,VALUE(LEFT(U35,(MIN(FIND({"+","*"},U35&amp;"+,*"))-1)))))</f>
        <v>#N/A</v>
      </c>
      <c r="M92" s="121" t="e">
        <f>IF(V35="",#N/A,IF(ISNUMBER(V35),V35,VALUE(LEFT(V35,(MIN(FIND({"+","*"},V35&amp;"+,*"))-1)))))</f>
        <v>#N/A</v>
      </c>
      <c r="N92" s="121" t="e">
        <f>IF(W35="",#N/A,IF(ISNUMBER(W35),W35,VALUE(LEFT(W35,(MIN(FIND({"+","*"},W35&amp;"+,*"))-1)))))</f>
        <v>#N/A</v>
      </c>
      <c r="O92" s="121" t="e">
        <f>IF(X35="",#N/A,IF(ISNUMBER(X35),X35,VALUE(LEFT(X35,(MIN(FIND({"+","*"},X35&amp;"+,*"))-1)))))</f>
        <v>#N/A</v>
      </c>
      <c r="P92"/>
    </row>
    <row r="93" spans="1:18" ht="19" hidden="1" customHeight="1" x14ac:dyDescent="0.35">
      <c r="A93" s="124"/>
      <c r="B93" s="113" t="s">
        <v>392</v>
      </c>
      <c r="C93" s="122"/>
      <c r="D93" s="122"/>
      <c r="F93"/>
      <c r="G93"/>
      <c r="H93" s="121" t="e">
        <f>IF(ISNUMBER(FIND("*",Q35)),H92+4,#N/A)</f>
        <v>#N/A</v>
      </c>
      <c r="I93" s="121" t="e">
        <f t="shared" ref="I93:O93" si="19">IF(ISNUMBER(FIND("*",R35)),I92+4,#N/A)</f>
        <v>#N/A</v>
      </c>
      <c r="J93" s="121" t="e">
        <f t="shared" si="19"/>
        <v>#N/A</v>
      </c>
      <c r="K93" s="121" t="e">
        <f t="shared" si="19"/>
        <v>#N/A</v>
      </c>
      <c r="L93" s="121" t="e">
        <f t="shared" si="19"/>
        <v>#N/A</v>
      </c>
      <c r="M93" s="121" t="e">
        <f t="shared" si="19"/>
        <v>#N/A</v>
      </c>
      <c r="N93" s="121" t="e">
        <f t="shared" si="19"/>
        <v>#N/A</v>
      </c>
      <c r="O93" s="121" t="e">
        <f t="shared" si="19"/>
        <v>#N/A</v>
      </c>
      <c r="P93"/>
    </row>
    <row r="94" spans="1:18" ht="19" hidden="1" customHeight="1" x14ac:dyDescent="0.35">
      <c r="A94" s="16"/>
      <c r="B94" s="126" t="s">
        <v>383</v>
      </c>
      <c r="C94" s="16"/>
      <c r="D94" s="16"/>
      <c r="F94"/>
      <c r="G94"/>
      <c r="H94" s="121" t="e">
        <f>IF(ISNUMBER(FIND("+",Q35)),H92,#N/A)</f>
        <v>#N/A</v>
      </c>
      <c r="I94" s="121" t="e">
        <f t="shared" ref="I94:O94" si="20">IF(ISNUMBER(FIND("+",R35)),I92,#N/A)</f>
        <v>#N/A</v>
      </c>
      <c r="J94" s="121" t="e">
        <f t="shared" si="20"/>
        <v>#N/A</v>
      </c>
      <c r="K94" s="121" t="e">
        <f t="shared" si="20"/>
        <v>#N/A</v>
      </c>
      <c r="L94" s="121" t="e">
        <f t="shared" si="20"/>
        <v>#N/A</v>
      </c>
      <c r="M94" s="121" t="e">
        <f t="shared" si="20"/>
        <v>#N/A</v>
      </c>
      <c r="N94" s="121" t="e">
        <f t="shared" si="20"/>
        <v>#N/A</v>
      </c>
      <c r="O94" s="121" t="e">
        <f t="shared" si="20"/>
        <v>#N/A</v>
      </c>
      <c r="P94"/>
      <c r="Q94" s="15">
        <f>COUNT(H94,J94,L94,N94)</f>
        <v>0</v>
      </c>
      <c r="R94" s="15">
        <f>COUNT(H94,J94,L94,M94)</f>
        <v>0</v>
      </c>
    </row>
    <row r="95" spans="1:18" ht="19" hidden="1" customHeight="1" x14ac:dyDescent="0.3">
      <c r="A95" s="16"/>
      <c r="B95" s="126" t="s">
        <v>393</v>
      </c>
      <c r="C95" s="16"/>
      <c r="D95" s="16"/>
      <c r="F95"/>
      <c r="G95"/>
      <c r="H95" s="15" t="e">
        <f t="shared" ref="H95:O95" si="21">IF(ISNUMBER(H92),H92,H89)</f>
        <v>#N/A</v>
      </c>
      <c r="I95" s="15" t="e">
        <f t="shared" si="21"/>
        <v>#N/A</v>
      </c>
      <c r="J95" s="15" t="e">
        <f t="shared" si="21"/>
        <v>#N/A</v>
      </c>
      <c r="K95" s="15" t="e">
        <f t="shared" si="21"/>
        <v>#N/A</v>
      </c>
      <c r="L95" s="15" t="e">
        <f t="shared" si="21"/>
        <v>#N/A</v>
      </c>
      <c r="M95" s="15" t="e">
        <f t="shared" si="21"/>
        <v>#N/A</v>
      </c>
      <c r="N95" s="15" t="e">
        <f t="shared" si="21"/>
        <v>#N/A</v>
      </c>
      <c r="O95" s="15" t="e">
        <f t="shared" si="21"/>
        <v>#N/A</v>
      </c>
      <c r="P95"/>
      <c r="Q95" s="15" t="e">
        <f>AVERAGE(H95,J95,L95,N95)</f>
        <v>#N/A</v>
      </c>
      <c r="R95" s="15" t="e">
        <f>AVERAGE(H95,J95,L95,M95)</f>
        <v>#N/A</v>
      </c>
    </row>
    <row r="96" spans="1:18" ht="19" hidden="1" customHeight="1" thickBot="1" x14ac:dyDescent="0.35">
      <c r="A96" s="16"/>
      <c r="B96" s="126"/>
      <c r="C96" s="16"/>
      <c r="D96" s="16"/>
      <c r="F96"/>
      <c r="G96"/>
      <c r="P96"/>
    </row>
    <row r="97" spans="1:21" ht="19" hidden="1" customHeight="1" x14ac:dyDescent="0.35">
      <c r="A97" s="290" t="s">
        <v>316</v>
      </c>
      <c r="B97" s="118" t="s">
        <v>394</v>
      </c>
      <c r="C97" s="119"/>
      <c r="D97" s="120"/>
      <c r="F97"/>
      <c r="G97"/>
      <c r="H97" s="121" t="e">
        <f t="shared" ref="H97:O97" si="22">IF(C38="",#N/A,IF(ISNUMBER(C38),C38,VALUE(LEFT(C38,(MIN(FIND("+",C38&amp;"+"))-1)))))</f>
        <v>#N/A</v>
      </c>
      <c r="I97" s="121" t="e">
        <f t="shared" si="22"/>
        <v>#N/A</v>
      </c>
      <c r="J97" s="121" t="e">
        <f t="shared" si="22"/>
        <v>#N/A</v>
      </c>
      <c r="K97" s="121" t="e">
        <f t="shared" si="22"/>
        <v>#N/A</v>
      </c>
      <c r="L97" s="121" t="e">
        <f t="shared" si="22"/>
        <v>#N/A</v>
      </c>
      <c r="M97" s="121" t="e">
        <f t="shared" si="22"/>
        <v>#N/A</v>
      </c>
      <c r="N97" s="121" t="e">
        <f t="shared" si="22"/>
        <v>#N/A</v>
      </c>
      <c r="O97" s="121" t="e">
        <f t="shared" si="22"/>
        <v>#N/A</v>
      </c>
      <c r="P97"/>
    </row>
    <row r="98" spans="1:21" ht="19" hidden="1" customHeight="1" x14ac:dyDescent="0.35">
      <c r="A98" s="291"/>
      <c r="B98" s="113" t="s">
        <v>395</v>
      </c>
      <c r="C98" s="122"/>
      <c r="D98" s="123"/>
      <c r="F98"/>
      <c r="G98"/>
      <c r="H98" s="121" t="e">
        <f t="shared" ref="H98:O98" si="23">IF(C38="",#N/A,IF(ISNUMBER(C38),#N/A,LEFT(C38,(MIN(FIND("+",C38&amp;"+"))-1))+0))</f>
        <v>#N/A</v>
      </c>
      <c r="I98" s="121" t="e">
        <f t="shared" si="23"/>
        <v>#N/A</v>
      </c>
      <c r="J98" s="121" t="e">
        <f t="shared" si="23"/>
        <v>#N/A</v>
      </c>
      <c r="K98" s="121" t="e">
        <f t="shared" si="23"/>
        <v>#N/A</v>
      </c>
      <c r="L98" s="121" t="e">
        <f t="shared" si="23"/>
        <v>#N/A</v>
      </c>
      <c r="M98" s="121" t="e">
        <f t="shared" si="23"/>
        <v>#N/A</v>
      </c>
      <c r="N98" s="121" t="e">
        <f t="shared" si="23"/>
        <v>#N/A</v>
      </c>
      <c r="O98" s="121" t="e">
        <f t="shared" si="23"/>
        <v>#N/A</v>
      </c>
      <c r="P98"/>
    </row>
    <row r="99" spans="1:21" ht="19" hidden="1" customHeight="1" thickBot="1" x14ac:dyDescent="0.4">
      <c r="A99" s="292"/>
      <c r="B99" s="116" t="s">
        <v>396</v>
      </c>
      <c r="C99" s="127"/>
      <c r="D99" s="128"/>
      <c r="F99"/>
      <c r="G99"/>
      <c r="H99" s="121" t="e">
        <f t="shared" ref="H99:O99" si="24">IF(Q38="",#N/A,IF(ISNUMBER(Q38),Q38,VALUE(LEFT(Q38,(MIN(FIND("+",Q38&amp;"+"))-1)))))</f>
        <v>#N/A</v>
      </c>
      <c r="I99" s="121" t="e">
        <f t="shared" si="24"/>
        <v>#N/A</v>
      </c>
      <c r="J99" s="121" t="e">
        <f t="shared" si="24"/>
        <v>#N/A</v>
      </c>
      <c r="K99" s="121" t="e">
        <f t="shared" si="24"/>
        <v>#N/A</v>
      </c>
      <c r="L99" s="121" t="e">
        <f t="shared" si="24"/>
        <v>#N/A</v>
      </c>
      <c r="M99" s="121" t="e">
        <f t="shared" si="24"/>
        <v>#N/A</v>
      </c>
      <c r="N99" s="121" t="e">
        <f t="shared" si="24"/>
        <v>#N/A</v>
      </c>
      <c r="O99" s="121" t="e">
        <f t="shared" si="24"/>
        <v>#N/A</v>
      </c>
      <c r="P99"/>
    </row>
    <row r="100" spans="1:21" ht="19" hidden="1" customHeight="1" x14ac:dyDescent="0.35">
      <c r="A100" s="124"/>
      <c r="B100" s="113" t="s">
        <v>397</v>
      </c>
      <c r="C100" s="122"/>
      <c r="D100" s="122"/>
      <c r="F100"/>
      <c r="G100"/>
      <c r="H100" s="121" t="e">
        <f t="shared" ref="H100:O100" si="25">IF(Q38="",#N/A,IF(ISNUMBER(Q38),#N/A,LEFT(Q38,(MIN(FIND("+",Q38&amp;"+"))-1))+0))</f>
        <v>#N/A</v>
      </c>
      <c r="I100" s="121" t="e">
        <f t="shared" si="25"/>
        <v>#N/A</v>
      </c>
      <c r="J100" s="121" t="e">
        <f t="shared" si="25"/>
        <v>#N/A</v>
      </c>
      <c r="K100" s="121" t="e">
        <f t="shared" si="25"/>
        <v>#N/A</v>
      </c>
      <c r="L100" s="121" t="e">
        <f t="shared" si="25"/>
        <v>#N/A</v>
      </c>
      <c r="M100" s="121" t="e">
        <f t="shared" si="25"/>
        <v>#N/A</v>
      </c>
      <c r="N100" s="121" t="e">
        <f t="shared" si="25"/>
        <v>#N/A</v>
      </c>
      <c r="O100" s="121" t="e">
        <f t="shared" si="25"/>
        <v>#N/A</v>
      </c>
      <c r="P100"/>
    </row>
    <row r="101" spans="1:21" ht="19" hidden="1" customHeight="1" x14ac:dyDescent="0.3"/>
    <row r="102" spans="1:21" ht="19" hidden="1" customHeight="1" x14ac:dyDescent="0.35">
      <c r="A102" s="112" t="s">
        <v>333</v>
      </c>
      <c r="B102" s="113" t="s">
        <v>334</v>
      </c>
      <c r="C102" s="114"/>
      <c r="D102" s="114"/>
      <c r="E102" s="114"/>
      <c r="F102" s="121" t="e">
        <f t="shared" ref="F102:P102" si="26">IF(A36="",#N/A,IF(ISNUMBER(A36),A36,VALUE(LEFT(A36,(MIN(FIND("+",A36&amp;"+"))-1)))))</f>
        <v>#N/A</v>
      </c>
      <c r="G102" s="121" t="e">
        <f t="shared" si="26"/>
        <v>#N/A</v>
      </c>
      <c r="H102" s="121" t="e">
        <f t="shared" si="26"/>
        <v>#N/A</v>
      </c>
      <c r="I102" s="121" t="e">
        <f t="shared" si="26"/>
        <v>#N/A</v>
      </c>
      <c r="J102" s="121" t="e">
        <f t="shared" si="26"/>
        <v>#N/A</v>
      </c>
      <c r="K102" s="121" t="e">
        <f t="shared" si="26"/>
        <v>#N/A</v>
      </c>
      <c r="L102" s="121" t="e">
        <f t="shared" si="26"/>
        <v>#N/A</v>
      </c>
      <c r="M102" s="121" t="e">
        <f t="shared" si="26"/>
        <v>#N/A</v>
      </c>
      <c r="N102" s="121" t="e">
        <f t="shared" si="26"/>
        <v>#N/A</v>
      </c>
      <c r="O102" s="121" t="e">
        <f t="shared" si="26"/>
        <v>#N/A</v>
      </c>
      <c r="P102" s="121" t="e">
        <f t="shared" si="26"/>
        <v>#N/A</v>
      </c>
      <c r="Q102" s="15" t="e">
        <f>AVERAGE(H102,J102,L102,N102)</f>
        <v>#N/A</v>
      </c>
      <c r="R102" s="15" t="e">
        <f>AVERAGE(H102,J102,L102,M102)</f>
        <v>#N/A</v>
      </c>
    </row>
    <row r="103" spans="1:21" ht="19" hidden="1" customHeight="1" x14ac:dyDescent="0.35">
      <c r="A103" s="112" t="s">
        <v>398</v>
      </c>
      <c r="B103" s="113" t="s">
        <v>399</v>
      </c>
      <c r="C103" s="114"/>
      <c r="D103" s="114"/>
      <c r="E103" s="114"/>
      <c r="F103" s="121" t="e">
        <f t="shared" ref="F103:P103" si="27">IF(A36="",#N/A,IF(ISNUMBER(A36),#N/A,LEFT(A36,(MIN(FIND("+",A36&amp;"+"))-1))+0))</f>
        <v>#N/A</v>
      </c>
      <c r="G103" s="121" t="e">
        <f t="shared" si="27"/>
        <v>#N/A</v>
      </c>
      <c r="H103" s="121" t="e">
        <f t="shared" si="27"/>
        <v>#N/A</v>
      </c>
      <c r="I103" s="121" t="e">
        <f t="shared" si="27"/>
        <v>#N/A</v>
      </c>
      <c r="J103" s="121" t="e">
        <f t="shared" si="27"/>
        <v>#N/A</v>
      </c>
      <c r="K103" s="121" t="e">
        <f t="shared" si="27"/>
        <v>#N/A</v>
      </c>
      <c r="L103" s="121" t="e">
        <f t="shared" si="27"/>
        <v>#N/A</v>
      </c>
      <c r="M103" s="121" t="e">
        <f t="shared" si="27"/>
        <v>#N/A</v>
      </c>
      <c r="N103" s="121" t="e">
        <f t="shared" si="27"/>
        <v>#N/A</v>
      </c>
      <c r="O103" s="121" t="e">
        <f t="shared" si="27"/>
        <v>#N/A</v>
      </c>
      <c r="P103" s="121" t="e">
        <f t="shared" si="27"/>
        <v>#N/A</v>
      </c>
      <c r="Q103" s="15">
        <f>COUNT(H103,J103,L103,N103)</f>
        <v>0</v>
      </c>
      <c r="R103" s="15">
        <f>COUNT(H103,J103,L103,M103)</f>
        <v>0</v>
      </c>
    </row>
    <row r="104" spans="1:21" ht="19" hidden="1" customHeight="1" x14ac:dyDescent="0.3">
      <c r="A104" s="112"/>
      <c r="B104" s="113" t="s">
        <v>400</v>
      </c>
      <c r="C104" s="114"/>
      <c r="D104" s="114"/>
      <c r="E104" s="114"/>
      <c r="F104" s="15" t="e">
        <f>IF(ISNUMBER(F103),#N/A,F102)</f>
        <v>#N/A</v>
      </c>
      <c r="G104" s="15" t="e">
        <f t="shared" ref="G104:P104" si="28">IF(ISNUMBER(G103),#N/A,G102)</f>
        <v>#N/A</v>
      </c>
      <c r="H104" s="15" t="e">
        <f t="shared" si="28"/>
        <v>#N/A</v>
      </c>
      <c r="I104" s="15" t="e">
        <f t="shared" si="28"/>
        <v>#N/A</v>
      </c>
      <c r="J104" s="15" t="e">
        <f t="shared" si="28"/>
        <v>#N/A</v>
      </c>
      <c r="K104" s="15" t="e">
        <f t="shared" si="28"/>
        <v>#N/A</v>
      </c>
      <c r="L104" s="15" t="e">
        <f t="shared" si="28"/>
        <v>#N/A</v>
      </c>
      <c r="M104" s="15" t="e">
        <f t="shared" si="28"/>
        <v>#N/A</v>
      </c>
      <c r="N104" s="15" t="e">
        <f t="shared" si="28"/>
        <v>#N/A</v>
      </c>
      <c r="O104" s="15" t="e">
        <f t="shared" si="28"/>
        <v>#N/A</v>
      </c>
      <c r="P104" s="15" t="e">
        <f t="shared" si="28"/>
        <v>#N/A</v>
      </c>
    </row>
    <row r="105" spans="1:21" ht="19" hidden="1" customHeight="1" x14ac:dyDescent="0.35">
      <c r="A105" s="112"/>
      <c r="B105" s="113" t="s">
        <v>335</v>
      </c>
      <c r="C105" s="114"/>
      <c r="D105" s="114"/>
      <c r="E105" s="114"/>
      <c r="F105" s="121" t="e">
        <f t="shared" ref="F105:P105" si="29">IF(A37="",#N/A,IF(ISNUMBER(A37),A37,VALUE(LEFT(A37,(MIN(FIND("+",A37&amp;"+"))-1)))))</f>
        <v>#N/A</v>
      </c>
      <c r="G105" s="121" t="e">
        <f t="shared" si="29"/>
        <v>#N/A</v>
      </c>
      <c r="H105" s="121" t="e">
        <f t="shared" si="29"/>
        <v>#N/A</v>
      </c>
      <c r="I105" s="121" t="e">
        <f t="shared" si="29"/>
        <v>#N/A</v>
      </c>
      <c r="J105" s="121" t="e">
        <f t="shared" si="29"/>
        <v>#N/A</v>
      </c>
      <c r="K105" s="121" t="e">
        <f t="shared" si="29"/>
        <v>#N/A</v>
      </c>
      <c r="L105" s="121" t="e">
        <f t="shared" si="29"/>
        <v>#N/A</v>
      </c>
      <c r="M105" s="121" t="e">
        <f t="shared" si="29"/>
        <v>#N/A</v>
      </c>
      <c r="N105" s="121" t="e">
        <f t="shared" si="29"/>
        <v>#N/A</v>
      </c>
      <c r="O105" s="121" t="e">
        <f t="shared" si="29"/>
        <v>#N/A</v>
      </c>
      <c r="P105" s="121" t="e">
        <f t="shared" si="29"/>
        <v>#N/A</v>
      </c>
      <c r="Q105" s="15" t="e">
        <f>AVERAGE(H105,J105,L105,N105)</f>
        <v>#N/A</v>
      </c>
      <c r="R105" s="15" t="e">
        <f>AVERAGE(H105,J105,L105,M105)</f>
        <v>#N/A</v>
      </c>
    </row>
    <row r="106" spans="1:21" ht="19" hidden="1" customHeight="1" x14ac:dyDescent="0.35">
      <c r="B106" s="15" t="s">
        <v>401</v>
      </c>
      <c r="F106" s="121" t="e">
        <f t="shared" ref="F106:P106" si="30">IF(A37="",#N/A,IF(ISNUMBER(A37),#N/A,LEFT(A37,(MIN(FIND("+",A37&amp;"+"))-1))+0))</f>
        <v>#N/A</v>
      </c>
      <c r="G106" s="121" t="e">
        <f t="shared" si="30"/>
        <v>#N/A</v>
      </c>
      <c r="H106" s="121" t="e">
        <f t="shared" si="30"/>
        <v>#N/A</v>
      </c>
      <c r="I106" s="121" t="e">
        <f t="shared" si="30"/>
        <v>#N/A</v>
      </c>
      <c r="J106" s="121" t="e">
        <f t="shared" si="30"/>
        <v>#N/A</v>
      </c>
      <c r="K106" s="121" t="e">
        <f t="shared" si="30"/>
        <v>#N/A</v>
      </c>
      <c r="L106" s="121" t="e">
        <f t="shared" si="30"/>
        <v>#N/A</v>
      </c>
      <c r="M106" s="121" t="e">
        <f t="shared" si="30"/>
        <v>#N/A</v>
      </c>
      <c r="N106" s="121" t="e">
        <f t="shared" si="30"/>
        <v>#N/A</v>
      </c>
      <c r="O106" s="121" t="e">
        <f t="shared" si="30"/>
        <v>#N/A</v>
      </c>
      <c r="P106" s="121" t="e">
        <f t="shared" si="30"/>
        <v>#N/A</v>
      </c>
      <c r="Q106" s="15">
        <f>COUNT(H106,J106,L106,N106)</f>
        <v>0</v>
      </c>
      <c r="R106" s="15">
        <f>COUNT(H106,J106,L106,M106)</f>
        <v>0</v>
      </c>
    </row>
    <row r="107" spans="1:21" ht="19" hidden="1" customHeight="1" x14ac:dyDescent="0.3">
      <c r="B107" s="15" t="s">
        <v>402</v>
      </c>
      <c r="F107" s="15" t="e">
        <f>IF(ISNUMBER(F106),#N/A,F105)</f>
        <v>#N/A</v>
      </c>
      <c r="G107" s="15" t="e">
        <f t="shared" ref="G107:P107" si="31">IF(ISNUMBER(G106),#N/A,G105)</f>
        <v>#N/A</v>
      </c>
      <c r="H107" s="15" t="e">
        <f t="shared" si="31"/>
        <v>#N/A</v>
      </c>
      <c r="I107" s="15" t="e">
        <f t="shared" si="31"/>
        <v>#N/A</v>
      </c>
      <c r="J107" s="15" t="e">
        <f t="shared" si="31"/>
        <v>#N/A</v>
      </c>
      <c r="K107" s="15" t="e">
        <f t="shared" si="31"/>
        <v>#N/A</v>
      </c>
      <c r="L107" s="15" t="e">
        <f t="shared" si="31"/>
        <v>#N/A</v>
      </c>
      <c r="M107" s="15" t="e">
        <f t="shared" si="31"/>
        <v>#N/A</v>
      </c>
      <c r="N107" s="15" t="e">
        <f t="shared" si="31"/>
        <v>#N/A</v>
      </c>
      <c r="O107" s="15" t="e">
        <f t="shared" si="31"/>
        <v>#N/A</v>
      </c>
      <c r="P107" s="15" t="e">
        <f t="shared" si="31"/>
        <v>#N/A</v>
      </c>
      <c r="U107" s="15" t="s">
        <v>403</v>
      </c>
    </row>
    <row r="108" spans="1:21" ht="19" hidden="1" customHeight="1" x14ac:dyDescent="0.3"/>
    <row r="109" spans="1:21" ht="19" hidden="1" customHeight="1" x14ac:dyDescent="0.35">
      <c r="A109" s="15" t="s">
        <v>333</v>
      </c>
      <c r="B109" s="113" t="s">
        <v>334</v>
      </c>
      <c r="C109" s="114"/>
      <c r="D109" s="114"/>
      <c r="E109" s="114"/>
      <c r="F109" s="121" t="e">
        <f t="shared" ref="F109:P109" si="32">IF(O36="",#N/A,IF(ISNUMBER(O36),O36,VALUE(LEFT(O36,(MIN(FIND("+",O36&amp;"+"))-1)))))</f>
        <v>#N/A</v>
      </c>
      <c r="G109" s="121" t="e">
        <f t="shared" si="32"/>
        <v>#N/A</v>
      </c>
      <c r="H109" s="121" t="e">
        <f t="shared" si="32"/>
        <v>#N/A</v>
      </c>
      <c r="I109" s="121" t="e">
        <f t="shared" si="32"/>
        <v>#N/A</v>
      </c>
      <c r="J109" s="121" t="e">
        <f t="shared" si="32"/>
        <v>#N/A</v>
      </c>
      <c r="K109" s="121" t="e">
        <f t="shared" si="32"/>
        <v>#N/A</v>
      </c>
      <c r="L109" s="121" t="e">
        <f t="shared" si="32"/>
        <v>#N/A</v>
      </c>
      <c r="M109" s="121" t="e">
        <f t="shared" si="32"/>
        <v>#N/A</v>
      </c>
      <c r="N109" s="121" t="e">
        <f t="shared" si="32"/>
        <v>#N/A</v>
      </c>
      <c r="O109" s="121" t="e">
        <f t="shared" si="32"/>
        <v>#N/A</v>
      </c>
      <c r="P109" s="121" t="e">
        <f t="shared" si="32"/>
        <v>#N/A</v>
      </c>
      <c r="Q109" s="15" t="e">
        <f>AVERAGE(H109,J109,L109,N109)</f>
        <v>#N/A</v>
      </c>
      <c r="R109" s="15" t="e">
        <f>AVERAGE(H109,J109,L109,M109)</f>
        <v>#N/A</v>
      </c>
    </row>
    <row r="110" spans="1:21" ht="19" hidden="1" customHeight="1" x14ac:dyDescent="0.35">
      <c r="A110" s="15" t="s">
        <v>404</v>
      </c>
      <c r="B110" s="113" t="s">
        <v>399</v>
      </c>
      <c r="C110" s="114"/>
      <c r="D110" s="114"/>
      <c r="E110" s="114"/>
      <c r="F110" s="121" t="e">
        <f t="shared" ref="F110:P110" si="33">IF(O36="",#N/A,IF(ISNUMBER(O36),#N/A,LEFT(O36,(MIN(FIND("+",O36&amp;"+"))-1))+0))</f>
        <v>#N/A</v>
      </c>
      <c r="G110" s="121" t="e">
        <f t="shared" si="33"/>
        <v>#N/A</v>
      </c>
      <c r="H110" s="121" t="e">
        <f t="shared" si="33"/>
        <v>#N/A</v>
      </c>
      <c r="I110" s="121" t="e">
        <f t="shared" si="33"/>
        <v>#N/A</v>
      </c>
      <c r="J110" s="121" t="e">
        <f t="shared" si="33"/>
        <v>#N/A</v>
      </c>
      <c r="K110" s="121" t="e">
        <f t="shared" si="33"/>
        <v>#N/A</v>
      </c>
      <c r="L110" s="121" t="e">
        <f t="shared" si="33"/>
        <v>#N/A</v>
      </c>
      <c r="M110" s="121" t="e">
        <f t="shared" si="33"/>
        <v>#N/A</v>
      </c>
      <c r="N110" s="121" t="e">
        <f t="shared" si="33"/>
        <v>#N/A</v>
      </c>
      <c r="O110" s="121" t="e">
        <f t="shared" si="33"/>
        <v>#N/A</v>
      </c>
      <c r="P110" s="121" t="e">
        <f t="shared" si="33"/>
        <v>#N/A</v>
      </c>
      <c r="Q110" s="15">
        <f>COUNT(H110,J110,L110,N110)</f>
        <v>0</v>
      </c>
      <c r="R110" s="15">
        <f>COUNT(H110,J110,L110,M110)</f>
        <v>0</v>
      </c>
    </row>
    <row r="111" spans="1:21" ht="19" hidden="1" customHeight="1" x14ac:dyDescent="0.3">
      <c r="B111" s="113" t="s">
        <v>400</v>
      </c>
      <c r="C111" s="114"/>
      <c r="D111" s="114"/>
      <c r="E111" s="114"/>
      <c r="F111" s="15" t="e">
        <f>IF(ISNUMBER(F110),#N/A,F109)</f>
        <v>#N/A</v>
      </c>
      <c r="G111" s="15" t="e">
        <f t="shared" ref="G111:P111" si="34">IF(ISNUMBER(G110),#N/A,G109)</f>
        <v>#N/A</v>
      </c>
      <c r="H111" s="15" t="e">
        <f t="shared" si="34"/>
        <v>#N/A</v>
      </c>
      <c r="I111" s="15" t="e">
        <f t="shared" si="34"/>
        <v>#N/A</v>
      </c>
      <c r="J111" s="15" t="e">
        <f t="shared" si="34"/>
        <v>#N/A</v>
      </c>
      <c r="K111" s="15" t="e">
        <f t="shared" si="34"/>
        <v>#N/A</v>
      </c>
      <c r="L111" s="15" t="e">
        <f t="shared" si="34"/>
        <v>#N/A</v>
      </c>
      <c r="M111" s="15" t="e">
        <f t="shared" si="34"/>
        <v>#N/A</v>
      </c>
      <c r="N111" s="15" t="e">
        <f t="shared" si="34"/>
        <v>#N/A</v>
      </c>
      <c r="O111" s="15" t="e">
        <f t="shared" si="34"/>
        <v>#N/A</v>
      </c>
      <c r="P111" s="15" t="e">
        <f t="shared" si="34"/>
        <v>#N/A</v>
      </c>
    </row>
    <row r="112" spans="1:21" ht="19" hidden="1" customHeight="1" x14ac:dyDescent="0.35">
      <c r="B112" s="113" t="s">
        <v>335</v>
      </c>
      <c r="C112" s="114"/>
      <c r="D112" s="114"/>
      <c r="E112" s="114"/>
      <c r="F112" s="121" t="e">
        <f t="shared" ref="F112:P112" si="35">IF(O37="",#N/A,IF(ISNUMBER(O37),O37,VALUE(LEFT(O37,(MIN(FIND("+",O37&amp;"+"))-1)))))</f>
        <v>#N/A</v>
      </c>
      <c r="G112" s="121" t="e">
        <f t="shared" si="35"/>
        <v>#N/A</v>
      </c>
      <c r="H112" s="121" t="e">
        <f t="shared" si="35"/>
        <v>#N/A</v>
      </c>
      <c r="I112" s="121" t="e">
        <f t="shared" si="35"/>
        <v>#N/A</v>
      </c>
      <c r="J112" s="121" t="e">
        <f t="shared" si="35"/>
        <v>#N/A</v>
      </c>
      <c r="K112" s="121" t="e">
        <f t="shared" si="35"/>
        <v>#N/A</v>
      </c>
      <c r="L112" s="121" t="e">
        <f t="shared" si="35"/>
        <v>#N/A</v>
      </c>
      <c r="M112" s="121" t="e">
        <f t="shared" si="35"/>
        <v>#N/A</v>
      </c>
      <c r="N112" s="121" t="e">
        <f t="shared" si="35"/>
        <v>#N/A</v>
      </c>
      <c r="O112" s="121" t="e">
        <f t="shared" si="35"/>
        <v>#N/A</v>
      </c>
      <c r="P112" s="121" t="e">
        <f t="shared" si="35"/>
        <v>#N/A</v>
      </c>
      <c r="Q112" s="15" t="e">
        <f>AVERAGE(H112,J112,L112,N112)</f>
        <v>#N/A</v>
      </c>
      <c r="R112" s="15" t="e">
        <f>AVERAGE(H112,J112,L112,M112)</f>
        <v>#N/A</v>
      </c>
    </row>
    <row r="113" spans="1:24" ht="19" hidden="1" customHeight="1" x14ac:dyDescent="0.35">
      <c r="B113" s="15" t="s">
        <v>401</v>
      </c>
      <c r="F113" s="121" t="e">
        <f t="shared" ref="F113:P113" si="36">IF(O37="",#N/A,IF(ISNUMBER(O37),#N/A,LEFT(O37,(MIN(FIND("+",O37&amp;"+"))-1))+0))</f>
        <v>#N/A</v>
      </c>
      <c r="G113" s="121" t="e">
        <f t="shared" si="36"/>
        <v>#N/A</v>
      </c>
      <c r="H113" s="121" t="e">
        <f t="shared" si="36"/>
        <v>#N/A</v>
      </c>
      <c r="I113" s="121" t="e">
        <f t="shared" si="36"/>
        <v>#N/A</v>
      </c>
      <c r="J113" s="121" t="e">
        <f t="shared" si="36"/>
        <v>#N/A</v>
      </c>
      <c r="K113" s="121" t="e">
        <f t="shared" si="36"/>
        <v>#N/A</v>
      </c>
      <c r="L113" s="121" t="e">
        <f t="shared" si="36"/>
        <v>#N/A</v>
      </c>
      <c r="M113" s="121" t="e">
        <f t="shared" si="36"/>
        <v>#N/A</v>
      </c>
      <c r="N113" s="121" t="e">
        <f t="shared" si="36"/>
        <v>#N/A</v>
      </c>
      <c r="O113" s="121" t="e">
        <f t="shared" si="36"/>
        <v>#N/A</v>
      </c>
      <c r="P113" s="121" t="e">
        <f t="shared" si="36"/>
        <v>#N/A</v>
      </c>
      <c r="Q113" s="15">
        <f>COUNT(H113,J113,L113,N113)</f>
        <v>0</v>
      </c>
      <c r="R113" s="15">
        <f>COUNT(H113,J113,L113,M113)</f>
        <v>0</v>
      </c>
    </row>
    <row r="114" spans="1:24" ht="19" hidden="1" customHeight="1" x14ac:dyDescent="0.3">
      <c r="B114" s="15" t="s">
        <v>402</v>
      </c>
      <c r="F114" s="15" t="e">
        <f>IF(ISNUMBER(F113),#N/A,F112)</f>
        <v>#N/A</v>
      </c>
      <c r="G114" s="15" t="e">
        <f t="shared" ref="G114:P114" si="37">IF(ISNUMBER(G113),#N/A,G112)</f>
        <v>#N/A</v>
      </c>
      <c r="H114" s="15" t="e">
        <f t="shared" si="37"/>
        <v>#N/A</v>
      </c>
      <c r="I114" s="15" t="e">
        <f t="shared" si="37"/>
        <v>#N/A</v>
      </c>
      <c r="J114" s="15" t="e">
        <f t="shared" si="37"/>
        <v>#N/A</v>
      </c>
      <c r="K114" s="15" t="e">
        <f t="shared" si="37"/>
        <v>#N/A</v>
      </c>
      <c r="L114" s="15" t="e">
        <f t="shared" si="37"/>
        <v>#N/A</v>
      </c>
      <c r="M114" s="15" t="e">
        <f t="shared" si="37"/>
        <v>#N/A</v>
      </c>
      <c r="N114" s="15" t="e">
        <f t="shared" si="37"/>
        <v>#N/A</v>
      </c>
      <c r="O114" s="15" t="e">
        <f t="shared" si="37"/>
        <v>#N/A</v>
      </c>
      <c r="P114" s="15" t="e">
        <f t="shared" si="37"/>
        <v>#N/A</v>
      </c>
    </row>
    <row r="115" spans="1:24" ht="19" hidden="1" customHeight="1" x14ac:dyDescent="0.3"/>
    <row r="116" spans="1:24" ht="19" hidden="1" customHeight="1" x14ac:dyDescent="0.3">
      <c r="R116" s="15" t="s">
        <v>405</v>
      </c>
    </row>
    <row r="117" spans="1:24" ht="19" hidden="1" customHeight="1" x14ac:dyDescent="0.3">
      <c r="A117" s="15" t="s">
        <v>283</v>
      </c>
      <c r="B117" s="15" t="s">
        <v>284</v>
      </c>
      <c r="F117" s="15" t="s">
        <v>196</v>
      </c>
      <c r="H117" s="15" t="s">
        <v>406</v>
      </c>
      <c r="J117" s="15" t="s">
        <v>407</v>
      </c>
      <c r="M117" s="15">
        <v>-10</v>
      </c>
      <c r="N117" s="15" t="s">
        <v>267</v>
      </c>
      <c r="O117" s="15">
        <v>15</v>
      </c>
      <c r="R117" s="15" t="e">
        <f>G69</f>
        <v>#N/A</v>
      </c>
      <c r="T117" s="15" t="e">
        <f>VLOOKUP(R117,M117:N123,2,TRUE)</f>
        <v>#N/A</v>
      </c>
    </row>
    <row r="118" spans="1:24" ht="19" hidden="1" customHeight="1" x14ac:dyDescent="0.3">
      <c r="A118" s="15" t="s">
        <v>359</v>
      </c>
      <c r="B118" s="15" t="s">
        <v>290</v>
      </c>
      <c r="F118" s="15" t="s">
        <v>246</v>
      </c>
      <c r="H118" s="133" t="s">
        <v>253</v>
      </c>
      <c r="J118" s="15" t="s">
        <v>240</v>
      </c>
      <c r="M118" s="15">
        <v>16</v>
      </c>
      <c r="N118" s="15" t="s">
        <v>272</v>
      </c>
      <c r="O118" s="15">
        <v>25</v>
      </c>
      <c r="R118" s="15" t="e">
        <f>L69</f>
        <v>#N/A</v>
      </c>
      <c r="T118" s="15" t="e">
        <f>VLOOKUP(R118,M117:N123,2,TRUE)</f>
        <v>#N/A</v>
      </c>
      <c r="X118" s="15" t="e">
        <f>IF(T117=T118,T117,IF(R117&lt;R118,CONCATENATE(T117," sloping to ",T118, " in the mid frequencies"),CONCATENATE(T117," rising to ",T118, " in the mid frequencies")))</f>
        <v>#N/A</v>
      </c>
    </row>
    <row r="119" spans="1:24" ht="19" hidden="1" customHeight="1" x14ac:dyDescent="0.3">
      <c r="B119" s="15" t="s">
        <v>360</v>
      </c>
      <c r="F119" s="15" t="s">
        <v>273</v>
      </c>
      <c r="H119" s="133" t="s">
        <v>268</v>
      </c>
      <c r="J119" s="15" t="s">
        <v>265</v>
      </c>
      <c r="M119" s="15">
        <v>26</v>
      </c>
      <c r="N119" s="15" t="s">
        <v>266</v>
      </c>
      <c r="O119" s="15">
        <v>40</v>
      </c>
      <c r="R119" s="15" t="e">
        <f>P69</f>
        <v>#N/A</v>
      </c>
      <c r="T119" s="15" t="e">
        <f>VLOOKUP(R119,M117:N123,2,TRUE)</f>
        <v>#N/A</v>
      </c>
      <c r="X119" s="15" t="e">
        <f>IF(T118=T119,"",IF(R118&lt;R119,CONCATENATE(" becoming ",T119, " in the high frequencies"),CONCATENATE(" becoming ",T119, " in the high frequencies")))</f>
        <v>#N/A</v>
      </c>
    </row>
    <row r="120" spans="1:24" ht="19" hidden="1" customHeight="1" x14ac:dyDescent="0.3">
      <c r="F120" s="15" t="s">
        <v>271</v>
      </c>
      <c r="H120" s="133" t="s">
        <v>280</v>
      </c>
      <c r="J120" s="15" t="s">
        <v>270</v>
      </c>
      <c r="M120" s="15">
        <v>41</v>
      </c>
      <c r="N120" s="15" t="s">
        <v>278</v>
      </c>
      <c r="O120" s="15">
        <v>55</v>
      </c>
      <c r="X120" s="15" t="e">
        <f>CONCATENATE(X118,X119)</f>
        <v>#N/A</v>
      </c>
    </row>
    <row r="121" spans="1:24" ht="19" hidden="1" customHeight="1" x14ac:dyDescent="0.3">
      <c r="H121" s="133" t="s">
        <v>242</v>
      </c>
      <c r="J121" s="15" t="s">
        <v>291</v>
      </c>
      <c r="M121" s="15">
        <v>56</v>
      </c>
      <c r="N121" s="15" t="s">
        <v>277</v>
      </c>
      <c r="O121" s="15">
        <v>70</v>
      </c>
      <c r="R121" s="15" t="s">
        <v>408</v>
      </c>
    </row>
    <row r="122" spans="1:24" ht="19" hidden="1" customHeight="1" x14ac:dyDescent="0.3">
      <c r="H122" s="134" t="s">
        <v>409</v>
      </c>
      <c r="J122" s="15" t="s">
        <v>274</v>
      </c>
      <c r="M122" s="15">
        <v>71</v>
      </c>
      <c r="N122" s="15" t="s">
        <v>275</v>
      </c>
      <c r="O122" s="15">
        <v>90</v>
      </c>
      <c r="R122" s="15" t="e">
        <f>G78</f>
        <v>#N/A</v>
      </c>
      <c r="T122" s="15" t="e">
        <f>VLOOKUP(R122,M117:N123,2,TRUE)</f>
        <v>#N/A</v>
      </c>
    </row>
    <row r="123" spans="1:24" ht="19" hidden="1" customHeight="1" x14ac:dyDescent="0.3">
      <c r="H123" s="15" t="s">
        <v>279</v>
      </c>
      <c r="J123" s="15" t="s">
        <v>282</v>
      </c>
      <c r="M123" s="15">
        <v>91</v>
      </c>
      <c r="N123" s="15" t="s">
        <v>269</v>
      </c>
      <c r="R123" s="15" t="e">
        <f>L78</f>
        <v>#N/A</v>
      </c>
      <c r="T123" s="15" t="e">
        <f>VLOOKUP(R123,M117:N123,2,TRUE)</f>
        <v>#N/A</v>
      </c>
      <c r="X123" s="15" t="e">
        <f>IF(T122=T123,T122,IF(R122&lt;R123,CONCATENATE(T122," sloping to ",T123, " in the mid frequencies"),CONCATENATE(T122," rising to ",T123, " in the mid frequencies")))</f>
        <v>#N/A</v>
      </c>
    </row>
    <row r="124" spans="1:24" ht="19" hidden="1" customHeight="1" x14ac:dyDescent="0.3">
      <c r="H124" s="15" t="s">
        <v>288</v>
      </c>
      <c r="R124" s="15" t="e">
        <f>P78</f>
        <v>#N/A</v>
      </c>
      <c r="T124" s="15" t="e">
        <f>VLOOKUP(R124,M117:N123,2,TRUE)</f>
        <v>#N/A</v>
      </c>
      <c r="X124" s="15" t="e">
        <f>IF(T123=T124,"",IF(R123&lt;R124,CONCATENATE(" becoming ",T124, " in the high frequencies"),CONCATENATE(" becoming ",T124, " in the high frequencies")))</f>
        <v>#N/A</v>
      </c>
    </row>
    <row r="125" spans="1:24" ht="19" hidden="1" customHeight="1" x14ac:dyDescent="0.3">
      <c r="G125" s="135"/>
      <c r="H125" s="135" t="s">
        <v>276</v>
      </c>
      <c r="I125" s="135"/>
      <c r="J125" s="135"/>
      <c r="K125" s="135"/>
      <c r="L125" s="135"/>
      <c r="M125" s="135"/>
      <c r="N125" s="135"/>
      <c r="X125" s="15" t="e">
        <f>CONCATENATE(X123,X124)</f>
        <v>#N/A</v>
      </c>
    </row>
    <row r="126" spans="1:24" ht="13.5" hidden="1" thickBot="1" x14ac:dyDescent="0.35">
      <c r="H126" s="15" t="s">
        <v>281</v>
      </c>
    </row>
    <row r="127" spans="1:24" ht="13.5" hidden="1" thickBot="1" x14ac:dyDescent="0.35"/>
    <row r="128" spans="1:24" ht="13.5" hidden="1" thickBot="1" x14ac:dyDescent="0.35">
      <c r="E128" s="15" t="s">
        <v>426</v>
      </c>
    </row>
    <row r="129" spans="1:25" ht="13.5" hidden="1" thickBot="1" x14ac:dyDescent="0.35"/>
    <row r="130" spans="1:25" ht="13.5" hidden="1" thickBot="1" x14ac:dyDescent="0.35">
      <c r="A130" s="115">
        <v>125</v>
      </c>
      <c r="B130" s="116">
        <v>250</v>
      </c>
      <c r="C130" s="116">
        <v>500</v>
      </c>
      <c r="D130" s="116">
        <v>750</v>
      </c>
      <c r="E130" s="116">
        <v>1000</v>
      </c>
      <c r="F130" s="116">
        <v>1500</v>
      </c>
      <c r="G130" s="116">
        <v>2000</v>
      </c>
      <c r="H130" s="116">
        <v>3000</v>
      </c>
      <c r="I130" s="116">
        <v>4000</v>
      </c>
      <c r="J130" s="116">
        <v>6000</v>
      </c>
      <c r="K130" s="117">
        <v>8000</v>
      </c>
      <c r="O130" s="115">
        <v>125</v>
      </c>
      <c r="P130" s="116">
        <v>250</v>
      </c>
      <c r="Q130" s="116">
        <v>500</v>
      </c>
      <c r="R130" s="116">
        <v>750</v>
      </c>
      <c r="S130" s="116">
        <v>1000</v>
      </c>
      <c r="T130" s="116">
        <v>1500</v>
      </c>
      <c r="U130" s="116">
        <v>2000</v>
      </c>
      <c r="V130" s="116">
        <v>3000</v>
      </c>
      <c r="W130" s="116">
        <v>4000</v>
      </c>
      <c r="X130" s="116">
        <v>6000</v>
      </c>
      <c r="Y130" s="117">
        <v>8000</v>
      </c>
    </row>
    <row r="131" spans="1:25" ht="13.5" hidden="1" thickBot="1" x14ac:dyDescent="0.35">
      <c r="A131" s="15" t="b">
        <f>IF(OR(IF(ISNA(F63),FALSE,F63-F72&gt;39), AND(ISNA(F89),IF(ISNA(F81),FALSE,F63-F81&gt;39)), IF(ISNA(F89),FALSE,F63-F89&gt;39)),TRUE,FALSE)</f>
        <v>0</v>
      </c>
      <c r="B131" s="15" t="b">
        <f>IF(OR(IF(ISNA(G63),FALSE,G63-G72&gt;39), AND(ISNA(G89),IF(ISNA(G81),FALSE,G63-G81&gt;39)), IF(ISNA(G89),FALSE,G63-G89&gt;39)),TRUE,FALSE)</f>
        <v>0</v>
      </c>
      <c r="C131" s="15" t="b">
        <f t="shared" ref="C131:K131" si="38">IF(OR(IF(ISNA(H63),FALSE,H63-H72&gt;39), AND(ISNA(H89),IF(ISNA(H81),FALSE,H63-H81&gt;39)), IF(ISNA(H89),FALSE,H63-H89&gt;39)),TRUE,FALSE)</f>
        <v>0</v>
      </c>
      <c r="D131" s="15" t="b">
        <f t="shared" si="38"/>
        <v>0</v>
      </c>
      <c r="E131" s="15" t="b">
        <f t="shared" si="38"/>
        <v>0</v>
      </c>
      <c r="F131" s="15" t="b">
        <f t="shared" si="38"/>
        <v>0</v>
      </c>
      <c r="G131" s="15" t="b">
        <f t="shared" si="38"/>
        <v>0</v>
      </c>
      <c r="H131" s="15" t="b">
        <f t="shared" si="38"/>
        <v>0</v>
      </c>
      <c r="I131" s="15" t="b">
        <f t="shared" si="38"/>
        <v>0</v>
      </c>
      <c r="J131" s="15" t="b">
        <f t="shared" si="38"/>
        <v>0</v>
      </c>
      <c r="K131" s="15" t="b">
        <f t="shared" si="38"/>
        <v>0</v>
      </c>
      <c r="M131" s="15" t="s">
        <v>328</v>
      </c>
      <c r="O131" s="15" t="b">
        <f>IF(OR(IF(ISNA(F63),FALSE,F72-F63&gt;39), AND(ISNA(F81),IF(ISNA(F89),FALSE,F72-F89&gt;39)), IF(ISNA(F81),FALSE,F72-F81&gt;39)),TRUE,FALSE)</f>
        <v>0</v>
      </c>
      <c r="P131" s="15" t="b">
        <f t="shared" ref="P131:Y131" si="39">IF(OR(IF(ISNA(G63),FALSE,G72-G63&gt;39), AND(ISNA(G81),IF(ISNA(G89),FALSE,G72-G89&gt;39)), IF(ISNA(G81),FALSE,G72-G81&gt;39)),TRUE,FALSE)</f>
        <v>0</v>
      </c>
      <c r="Q131" s="15" t="b">
        <f t="shared" si="39"/>
        <v>0</v>
      </c>
      <c r="R131" s="15" t="b">
        <f t="shared" si="39"/>
        <v>0</v>
      </c>
      <c r="S131" s="15" t="b">
        <f t="shared" si="39"/>
        <v>0</v>
      </c>
      <c r="T131" s="15" t="b">
        <f t="shared" si="39"/>
        <v>0</v>
      </c>
      <c r="U131" s="15" t="b">
        <f t="shared" si="39"/>
        <v>0</v>
      </c>
      <c r="V131" s="15" t="b">
        <f t="shared" si="39"/>
        <v>0</v>
      </c>
      <c r="W131" s="15" t="b">
        <f t="shared" si="39"/>
        <v>0</v>
      </c>
      <c r="X131" s="15" t="b">
        <f t="shared" si="39"/>
        <v>0</v>
      </c>
      <c r="Y131" s="15" t="b">
        <f t="shared" si="39"/>
        <v>0</v>
      </c>
    </row>
    <row r="132" spans="1:25" ht="13.5" hidden="1" thickBot="1" x14ac:dyDescent="0.35">
      <c r="A132" s="15" t="b">
        <f>IF(ISNA(F81),FALSE,F63-F81&gt;14)</f>
        <v>0</v>
      </c>
      <c r="B132" s="15" t="b">
        <f t="shared" ref="B132:K132" si="40">IF(ISNA(G81),FALSE,G63-G81&gt;14)</f>
        <v>0</v>
      </c>
      <c r="C132" s="15" t="b">
        <f t="shared" si="40"/>
        <v>0</v>
      </c>
      <c r="D132" s="15" t="b">
        <f t="shared" si="40"/>
        <v>0</v>
      </c>
      <c r="E132" s="15" t="b">
        <f t="shared" si="40"/>
        <v>0</v>
      </c>
      <c r="F132" s="15" t="b">
        <f t="shared" si="40"/>
        <v>0</v>
      </c>
      <c r="G132" s="15" t="b">
        <f t="shared" si="40"/>
        <v>0</v>
      </c>
      <c r="H132" s="15" t="b">
        <f t="shared" si="40"/>
        <v>0</v>
      </c>
      <c r="I132" s="15" t="b">
        <f t="shared" si="40"/>
        <v>0</v>
      </c>
      <c r="J132" s="15" t="b">
        <f t="shared" si="40"/>
        <v>0</v>
      </c>
      <c r="K132" s="15" t="b">
        <f t="shared" si="40"/>
        <v>0</v>
      </c>
      <c r="M132" s="15" t="s">
        <v>332</v>
      </c>
      <c r="O132" s="15" t="b">
        <f>IF(ISNA(F89),FALSE,F72-F89 &gt;14)</f>
        <v>0</v>
      </c>
      <c r="P132" s="15" t="b">
        <f t="shared" ref="P132:Y132" si="41">IF(ISNA(G89),FALSE,G72-G89 &gt;14)</f>
        <v>0</v>
      </c>
      <c r="Q132" s="15" t="b">
        <f t="shared" si="41"/>
        <v>0</v>
      </c>
      <c r="R132" s="15" t="b">
        <f t="shared" si="41"/>
        <v>0</v>
      </c>
      <c r="S132" s="15" t="b">
        <f t="shared" si="41"/>
        <v>0</v>
      </c>
      <c r="T132" s="15" t="b">
        <f t="shared" si="41"/>
        <v>0</v>
      </c>
      <c r="U132" s="15" t="b">
        <f t="shared" si="41"/>
        <v>0</v>
      </c>
      <c r="V132" s="15" t="b">
        <f t="shared" si="41"/>
        <v>0</v>
      </c>
      <c r="W132" s="15" t="b">
        <f t="shared" si="41"/>
        <v>0</v>
      </c>
      <c r="X132" s="15" t="b">
        <f t="shared" si="41"/>
        <v>0</v>
      </c>
      <c r="Y132" s="15" t="b">
        <f t="shared" si="41"/>
        <v>0</v>
      </c>
    </row>
    <row r="133" spans="1:25" ht="13.5" hidden="1" thickBot="1" x14ac:dyDescent="0.35"/>
    <row r="134" spans="1:25" ht="13.5" hidden="1" thickBot="1" x14ac:dyDescent="0.35"/>
    <row r="135" spans="1:25" ht="13.5" hidden="1" thickBot="1" x14ac:dyDescent="0.35"/>
    <row r="136" spans="1:25" ht="13.5" hidden="1" thickBot="1" x14ac:dyDescent="0.35"/>
    <row r="137" spans="1:25" ht="13.5" hidden="1" thickBot="1" x14ac:dyDescent="0.35"/>
    <row r="138" spans="1:25" ht="13.5" hidden="1" thickBot="1" x14ac:dyDescent="0.35"/>
    <row r="139" spans="1:25" ht="13.5" hidden="1" thickBot="1" x14ac:dyDescent="0.35"/>
    <row r="140" spans="1:25" ht="13.5" hidden="1" thickBot="1" x14ac:dyDescent="0.35"/>
    <row r="141" spans="1:25" ht="13.5" hidden="1" thickBot="1" x14ac:dyDescent="0.35"/>
    <row r="142" spans="1:25" ht="13.5" hidden="1" thickBot="1" x14ac:dyDescent="0.35"/>
    <row r="143" spans="1:25" ht="13.5" hidden="1" thickBot="1" x14ac:dyDescent="0.35"/>
    <row r="144" spans="1:25" ht="13.5" hidden="1" thickBot="1" x14ac:dyDescent="0.35"/>
    <row r="145" spans="1:25" ht="13.5" hidden="1" thickBot="1" x14ac:dyDescent="0.35"/>
    <row r="146" spans="1:25" ht="19.149999999999999" customHeight="1" x14ac:dyDescent="0.3">
      <c r="A146"/>
      <c r="B146"/>
      <c r="C146"/>
      <c r="D146"/>
      <c r="E146"/>
      <c r="F146"/>
      <c r="G146"/>
      <c r="H146"/>
      <c r="I146"/>
      <c r="J146"/>
      <c r="K146"/>
      <c r="L146" s="293" t="s">
        <v>431</v>
      </c>
      <c r="M146" s="294"/>
      <c r="N146" s="294"/>
      <c r="O146" s="294"/>
      <c r="P146" s="294"/>
      <c r="Q146" s="294"/>
      <c r="R146" s="294"/>
      <c r="S146" s="294"/>
      <c r="T146" s="294"/>
      <c r="U146" s="294"/>
      <c r="V146" s="294"/>
      <c r="W146" s="294"/>
      <c r="X146" s="294"/>
      <c r="Y146" s="295"/>
    </row>
    <row r="147" spans="1:25" ht="17" thickBot="1" x14ac:dyDescent="0.4">
      <c r="K147" s="136"/>
      <c r="L147" s="137" t="s">
        <v>432</v>
      </c>
      <c r="M147" s="166"/>
      <c r="N147" s="166"/>
      <c r="O147" s="166"/>
      <c r="P147" s="166"/>
      <c r="Q147" s="166"/>
      <c r="R147" s="166"/>
      <c r="S147" s="166"/>
      <c r="T147" s="166"/>
      <c r="U147" s="166"/>
      <c r="V147" s="166"/>
      <c r="W147" s="166"/>
      <c r="X147" s="166"/>
      <c r="Y147" s="138"/>
    </row>
    <row r="148" spans="1:25" ht="16" customHeight="1" x14ac:dyDescent="0.3">
      <c r="L148" s="139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1"/>
      <c r="X148" s="141"/>
      <c r="Y148" s="142"/>
    </row>
    <row r="149" spans="1:25" ht="16" customHeight="1" x14ac:dyDescent="0.3">
      <c r="L149" s="139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3"/>
    </row>
    <row r="150" spans="1:25" ht="16" customHeight="1" x14ac:dyDescent="0.3">
      <c r="L150" s="139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3"/>
    </row>
    <row r="151" spans="1:25" ht="15" customHeight="1" x14ac:dyDescent="0.3">
      <c r="L151" s="20"/>
      <c r="M151" s="156"/>
      <c r="N151" s="156"/>
      <c r="O151" s="156"/>
      <c r="P151" s="156"/>
      <c r="Q151" s="156"/>
      <c r="R151" s="156"/>
      <c r="S151" s="156"/>
      <c r="T151" s="156"/>
      <c r="U151" s="156"/>
      <c r="V151" s="156"/>
      <c r="W151" s="156"/>
      <c r="X151" s="156"/>
      <c r="Y151" s="19"/>
    </row>
    <row r="152" spans="1:25" ht="15" thickBot="1" x14ac:dyDescent="0.4">
      <c r="L152" s="144"/>
      <c r="M152" s="167" t="s">
        <v>433</v>
      </c>
      <c r="N152" s="146"/>
      <c r="O152" s="159" t="s">
        <v>305</v>
      </c>
      <c r="P152" s="159"/>
      <c r="Q152" s="296" t="s">
        <v>307</v>
      </c>
      <c r="R152" s="297"/>
      <c r="S152" s="297"/>
      <c r="T152" s="156"/>
      <c r="U152" s="156"/>
      <c r="V152" s="156"/>
      <c r="W152" s="156"/>
      <c r="X152" s="156"/>
      <c r="Y152" s="19"/>
    </row>
    <row r="153" spans="1:25" ht="16" customHeight="1" x14ac:dyDescent="0.3">
      <c r="L153" s="144"/>
      <c r="M153" s="155" t="s">
        <v>321</v>
      </c>
      <c r="N153" s="158"/>
      <c r="O153" s="157"/>
      <c r="P153" s="157"/>
      <c r="Q153" s="160"/>
      <c r="R153" s="157"/>
      <c r="S153" s="157"/>
      <c r="T153" s="156"/>
      <c r="U153" s="156" t="s">
        <v>410</v>
      </c>
      <c r="V153" s="156"/>
      <c r="W153" s="140"/>
      <c r="X153" s="140"/>
      <c r="Y153" s="143"/>
    </row>
    <row r="154" spans="1:25" ht="16" customHeight="1" x14ac:dyDescent="0.3">
      <c r="L154" s="144"/>
      <c r="M154" s="163" t="s">
        <v>434</v>
      </c>
      <c r="N154" s="158"/>
      <c r="O154" s="157"/>
      <c r="P154" s="157"/>
      <c r="Q154" s="160"/>
      <c r="R154" s="157"/>
      <c r="S154" s="157"/>
      <c r="T154" s="156"/>
      <c r="U154" s="156" t="s">
        <v>412</v>
      </c>
      <c r="V154" s="156"/>
      <c r="W154" s="140"/>
      <c r="X154" s="140"/>
      <c r="Y154" s="143"/>
    </row>
    <row r="155" spans="1:25" ht="16" customHeight="1" x14ac:dyDescent="0.3">
      <c r="L155" s="20"/>
      <c r="M155" s="163" t="s">
        <v>411</v>
      </c>
      <c r="N155" s="158"/>
      <c r="O155" s="157"/>
      <c r="P155" s="157"/>
      <c r="Q155" s="160"/>
      <c r="R155" s="157"/>
      <c r="S155" s="157"/>
      <c r="T155" s="156"/>
      <c r="U155" s="156" t="s">
        <v>414</v>
      </c>
      <c r="V155" s="156"/>
      <c r="W155" s="140"/>
      <c r="X155" s="140"/>
      <c r="Y155" s="143"/>
    </row>
    <row r="156" spans="1:25" ht="16" customHeight="1" x14ac:dyDescent="0.3">
      <c r="L156" s="20"/>
      <c r="M156" s="163" t="s">
        <v>413</v>
      </c>
      <c r="N156" s="158"/>
      <c r="O156" s="157"/>
      <c r="P156" s="157"/>
      <c r="Q156" s="160"/>
      <c r="R156" s="157"/>
      <c r="S156" s="157"/>
      <c r="T156" s="156"/>
      <c r="U156" s="156"/>
      <c r="V156" s="156"/>
      <c r="W156" s="156"/>
      <c r="X156" s="156"/>
      <c r="Y156" s="19"/>
    </row>
    <row r="157" spans="1:25" ht="16" customHeight="1" x14ac:dyDescent="0.3">
      <c r="L157" s="20"/>
      <c r="M157" s="163" t="s">
        <v>415</v>
      </c>
      <c r="N157" s="158"/>
      <c r="O157" s="157"/>
      <c r="P157" s="157"/>
      <c r="Q157" s="160"/>
      <c r="R157" s="157"/>
      <c r="S157" s="157"/>
      <c r="T157" s="156"/>
      <c r="U157" s="156" t="s">
        <v>417</v>
      </c>
      <c r="V157" s="156"/>
      <c r="W157" s="156"/>
      <c r="X157" s="156"/>
      <c r="Y157" s="19"/>
    </row>
    <row r="158" spans="1:25" ht="16" customHeight="1" x14ac:dyDescent="0.3">
      <c r="L158" s="20"/>
      <c r="M158" s="163" t="s">
        <v>416</v>
      </c>
      <c r="N158" s="158"/>
      <c r="O158" s="157"/>
      <c r="P158" s="157"/>
      <c r="Q158" s="160"/>
      <c r="R158" s="157"/>
      <c r="S158" s="157"/>
      <c r="T158" s="156"/>
      <c r="U158" s="140"/>
      <c r="V158" s="140"/>
      <c r="W158" s="140"/>
      <c r="X158" s="140"/>
      <c r="Y158" s="143"/>
    </row>
    <row r="159" spans="1:25" ht="16" customHeight="1" x14ac:dyDescent="0.3">
      <c r="L159" s="20"/>
      <c r="M159" s="163" t="s">
        <v>436</v>
      </c>
      <c r="N159" s="157"/>
      <c r="O159" s="157"/>
      <c r="P159" s="157"/>
      <c r="Q159" s="160"/>
      <c r="R159" s="157"/>
      <c r="S159" s="157"/>
      <c r="T159" s="156"/>
      <c r="U159" s="140"/>
      <c r="V159" s="140"/>
      <c r="W159" s="140"/>
      <c r="X159" s="140"/>
      <c r="Y159" s="143"/>
    </row>
    <row r="160" spans="1:25" ht="16" customHeight="1" x14ac:dyDescent="0.3">
      <c r="L160" s="20"/>
      <c r="M160" s="163" t="s">
        <v>435</v>
      </c>
      <c r="N160" s="157"/>
      <c r="O160" s="157"/>
      <c r="P160" s="157"/>
      <c r="Q160" s="160"/>
      <c r="R160" s="157"/>
      <c r="S160" s="157"/>
      <c r="T160" s="156"/>
      <c r="U160" s="140"/>
      <c r="V160" s="140"/>
      <c r="W160" s="140"/>
      <c r="X160" s="140"/>
      <c r="Y160" s="143"/>
    </row>
    <row r="161" spans="7:25" x14ac:dyDescent="0.3">
      <c r="L161" s="20"/>
      <c r="M161" s="156"/>
      <c r="N161" s="156"/>
      <c r="O161" s="156"/>
      <c r="P161" s="156"/>
      <c r="Q161" s="156"/>
      <c r="R161" s="156"/>
      <c r="S161" s="156"/>
      <c r="T161" s="156"/>
      <c r="U161" s="161"/>
      <c r="V161" s="161"/>
      <c r="W161" s="161"/>
      <c r="X161" s="161"/>
      <c r="Y161" s="162"/>
    </row>
    <row r="162" spans="7:25" x14ac:dyDescent="0.3">
      <c r="L162" s="20" t="s">
        <v>241</v>
      </c>
      <c r="M162" s="156"/>
      <c r="N162" s="156"/>
      <c r="O162" s="156"/>
      <c r="P162" s="156"/>
      <c r="Q162" s="156"/>
      <c r="R162" s="156"/>
      <c r="S162" s="156"/>
      <c r="T162" s="156"/>
      <c r="U162" s="156"/>
      <c r="V162" s="156"/>
      <c r="W162" s="156"/>
      <c r="X162" s="156"/>
      <c r="Y162" s="19"/>
    </row>
    <row r="163" spans="7:25" x14ac:dyDescent="0.3">
      <c r="L163" s="20"/>
      <c r="M163" s="156"/>
      <c r="N163" s="156"/>
      <c r="O163" s="156"/>
      <c r="P163" s="156"/>
      <c r="Q163" s="156"/>
      <c r="R163" s="156"/>
      <c r="S163" s="156"/>
      <c r="T163" s="156"/>
      <c r="U163" s="156"/>
      <c r="V163" s="156"/>
      <c r="W163" s="156"/>
      <c r="X163" s="156"/>
      <c r="Y163" s="19"/>
    </row>
    <row r="164" spans="7:25" x14ac:dyDescent="0.3">
      <c r="L164" s="20"/>
      <c r="M164" s="156"/>
      <c r="N164" s="156"/>
      <c r="O164" s="156"/>
      <c r="P164" s="156"/>
      <c r="Q164" s="156"/>
      <c r="R164" s="156"/>
      <c r="S164" s="156"/>
      <c r="T164" s="156"/>
      <c r="U164" s="156"/>
      <c r="V164" s="156"/>
      <c r="W164" s="156"/>
      <c r="X164" s="156"/>
      <c r="Y164" s="19"/>
    </row>
    <row r="165" spans="7:25" ht="13.5" thickBot="1" x14ac:dyDescent="0.35">
      <c r="L165" s="23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5"/>
    </row>
    <row r="166" spans="7:25" x14ac:dyDescent="0.3">
      <c r="U166" s="298" t="s">
        <v>418</v>
      </c>
      <c r="V166" s="298"/>
      <c r="W166" s="298"/>
      <c r="X166" s="298"/>
      <c r="Y166" s="145">
        <f ca="1">COUNTIF(Register!B3:INDIRECT("Register!B"&amp;SUMPRODUCT(MAX((Register!$A:$A&lt;&gt;"")*(ROW(Register!A:A))))),PTA!N2)+1</f>
        <v>1</v>
      </c>
    </row>
    <row r="168" spans="7:25" ht="16.5" x14ac:dyDescent="0.35">
      <c r="K168" s="136"/>
      <c r="L168" s="136"/>
      <c r="M168" s="136"/>
    </row>
    <row r="169" spans="7:25" ht="14.5" x14ac:dyDescent="0.35">
      <c r="G169" s="146"/>
    </row>
  </sheetData>
  <sheetProtection selectLockedCells="1"/>
  <dataConsolidate/>
  <mergeCells count="80">
    <mergeCell ref="A97:A99"/>
    <mergeCell ref="L146:Y146"/>
    <mergeCell ref="Q152:S152"/>
    <mergeCell ref="U166:X166"/>
    <mergeCell ref="A58:D58"/>
    <mergeCell ref="F59:P59"/>
    <mergeCell ref="A63:A66"/>
    <mergeCell ref="A72:A75"/>
    <mergeCell ref="A89:A92"/>
    <mergeCell ref="A47:C47"/>
    <mergeCell ref="D47:G47"/>
    <mergeCell ref="H47:K47"/>
    <mergeCell ref="L47:T47"/>
    <mergeCell ref="U47:Y47"/>
    <mergeCell ref="B48:C48"/>
    <mergeCell ref="L48:T52"/>
    <mergeCell ref="U48:Y48"/>
    <mergeCell ref="B49:C49"/>
    <mergeCell ref="U49:Y52"/>
    <mergeCell ref="B50:C50"/>
    <mergeCell ref="B51:C51"/>
    <mergeCell ref="D51:E51"/>
    <mergeCell ref="H51:I51"/>
    <mergeCell ref="B52:C52"/>
    <mergeCell ref="D52:E52"/>
    <mergeCell ref="H52:I52"/>
    <mergeCell ref="A42:K46"/>
    <mergeCell ref="O42:P42"/>
    <mergeCell ref="O43:P43"/>
    <mergeCell ref="O44:P44"/>
    <mergeCell ref="O45:P45"/>
    <mergeCell ref="O46:P46"/>
    <mergeCell ref="AB33:AC38"/>
    <mergeCell ref="L34:L35"/>
    <mergeCell ref="N34:N35"/>
    <mergeCell ref="L36:L37"/>
    <mergeCell ref="N36:N37"/>
    <mergeCell ref="Q39:Y40"/>
    <mergeCell ref="L40:L41"/>
    <mergeCell ref="C29:D29"/>
    <mergeCell ref="A30:K30"/>
    <mergeCell ref="L30:N31"/>
    <mergeCell ref="O30:Y30"/>
    <mergeCell ref="L32:L33"/>
    <mergeCell ref="N32:N33"/>
    <mergeCell ref="M40:M41"/>
    <mergeCell ref="N40:N41"/>
    <mergeCell ref="A41:K41"/>
    <mergeCell ref="O41:P41"/>
    <mergeCell ref="A39:B40"/>
    <mergeCell ref="C39:K40"/>
    <mergeCell ref="O39:P40"/>
    <mergeCell ref="A27:B27"/>
    <mergeCell ref="C27:K27"/>
    <mergeCell ref="O27:P27"/>
    <mergeCell ref="Q27:Y27"/>
    <mergeCell ref="B28:D28"/>
    <mergeCell ref="P28:R28"/>
    <mergeCell ref="AE10:AH10"/>
    <mergeCell ref="L11:N11"/>
    <mergeCell ref="L14:N14"/>
    <mergeCell ref="AB16:AC16"/>
    <mergeCell ref="L20:N20"/>
    <mergeCell ref="L23:N23"/>
    <mergeCell ref="B4:K5"/>
    <mergeCell ref="T4:U4"/>
    <mergeCell ref="V4:Y4"/>
    <mergeCell ref="T5:U5"/>
    <mergeCell ref="V5:X5"/>
    <mergeCell ref="A7:K8"/>
    <mergeCell ref="L7:N7"/>
    <mergeCell ref="O7:Y8"/>
    <mergeCell ref="L8:N8"/>
    <mergeCell ref="S3:U3"/>
    <mergeCell ref="V3:X3"/>
    <mergeCell ref="B2:H2"/>
    <mergeCell ref="N2:O2"/>
    <mergeCell ref="Q2:R2"/>
    <mergeCell ref="S2:T2"/>
    <mergeCell ref="U2:Y2"/>
  </mergeCells>
  <conditionalFormatting sqref="A32:K32">
    <cfRule type="expression" dxfId="3" priority="4">
      <formula>A$131=TRUE</formula>
    </cfRule>
  </conditionalFormatting>
  <conditionalFormatting sqref="A34:K34">
    <cfRule type="expression" dxfId="2" priority="3">
      <formula>A$132=TRUE</formula>
    </cfRule>
  </conditionalFormatting>
  <conditionalFormatting sqref="O32:Y32">
    <cfRule type="expression" dxfId="1" priority="2">
      <formula>O$131=TRUE</formula>
    </cfRule>
  </conditionalFormatting>
  <conditionalFormatting sqref="O34:Y34">
    <cfRule type="expression" dxfId="0" priority="1">
      <formula>O$132=TRUE</formula>
    </cfRule>
  </conditionalFormatting>
  <dataValidations count="8">
    <dataValidation type="list" allowBlank="1" showInputMessage="1" showErrorMessage="1" sqref="L2" xr:uid="{00000000-0002-0000-0100-000000000000}">
      <formula1>"M,F"</formula1>
    </dataValidation>
    <dataValidation type="decimal" allowBlank="1" showInputMessage="1" showErrorMessage="1" sqref="J2" xr:uid="{00000000-0002-0000-0100-000001000000}">
      <formula1>0</formula1>
      <formula2>150</formula2>
    </dataValidation>
    <dataValidation type="list" allowBlank="1" showInputMessage="1" showErrorMessage="1" sqref="B48:C52" xr:uid="{00000000-0002-0000-0100-000002000000}">
      <formula1>$B$117:$B$119</formula1>
    </dataValidation>
    <dataValidation type="list" allowBlank="1" showInputMessage="1" showErrorMessage="1" sqref="A48:A52" xr:uid="{00000000-0002-0000-0100-000003000000}">
      <formula1>$A$117:$A$118</formula1>
    </dataValidation>
    <dataValidation type="list" allowBlank="1" showInputMessage="1" showErrorMessage="1" sqref="U48:Y48" xr:uid="{00000000-0002-0000-0100-000004000000}">
      <formula1>$U$53:$U$57</formula1>
    </dataValidation>
    <dataValidation type="list" allowBlank="1" showInputMessage="1" showErrorMessage="1" sqref="P28:R28 B28:D28" xr:uid="{00000000-0002-0000-0100-000005000000}">
      <formula1>$J$118:$J$123</formula1>
    </dataValidation>
    <dataValidation type="list" allowBlank="1" showInputMessage="1" showErrorMessage="1" sqref="N42 L42" xr:uid="{00000000-0002-0000-0100-000006000000}">
      <formula1>$H$118:$H$126</formula1>
    </dataValidation>
    <dataValidation type="list" allowBlank="1" showInputMessage="1" showErrorMessage="1" sqref="M24" xr:uid="{00000000-0002-0000-0100-000007000000}">
      <formula1>$F$118:$F$120</formula1>
    </dataValidation>
  </dataValidations>
  <hyperlinks>
    <hyperlink ref="D52" r:id="rId1" display="SRT@" xr:uid="{00000000-0004-0000-0100-000000000000}"/>
    <hyperlink ref="H52" r:id="rId2" display="SRT@" xr:uid="{00000000-0004-0000-0100-000001000000}"/>
  </hyperlinks>
  <printOptions horizontalCentered="1"/>
  <pageMargins left="0.70866141732283472" right="0.31496062992125984" top="1.7322834645669292" bottom="0.74803149606299213" header="0.31496062992125984" footer="0.31496062992125984"/>
  <pageSetup paperSize="9" scale="65" orientation="portrait" r:id="rId3"/>
  <headerFooter alignWithMargins="0">
    <oddHeader>&amp;L
&amp;G&amp;C
&amp;"Arial,Bold"&amp;16GREEN PASTURES HOSPITAL - EAR CENTER
&amp;"Arial,Regular"&amp;12Green Pastures Complex, Hariyokharka
P.O. Box 28 Pokhara, Kaski, Nepal
Tel: 061-431015 / 430548
&amp;"Arial,Bold"&amp;16&amp;UAUDIOMETRY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Check Box 1">
              <controlPr defaultSize="0" autoFill="0" autoLine="0" autoPict="0">
                <anchor moveWithCells="1" sizeWithCells="1">
                  <from>
                    <xdr:col>12</xdr:col>
                    <xdr:colOff>412750</xdr:colOff>
                    <xdr:row>2</xdr:row>
                    <xdr:rowOff>165100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8" name="Check Box 2">
              <controlPr defaultSize="0" autoFill="0" autoLine="0" autoPict="0">
                <anchor moveWithCells="1" sizeWithCells="1">
                  <from>
                    <xdr:col>12</xdr:col>
                    <xdr:colOff>412750</xdr:colOff>
                    <xdr:row>3</xdr:row>
                    <xdr:rowOff>184150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9" name="Check Box 3">
              <controlPr defaultSize="0" autoFill="0" autoLine="0" autoPict="0">
                <anchor moveWithCells="1" sizeWithCells="1">
                  <from>
                    <xdr:col>14</xdr:col>
                    <xdr:colOff>107950</xdr:colOff>
                    <xdr:row>2</xdr:row>
                    <xdr:rowOff>165100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0" name="Check Box 4">
              <controlPr defaultSize="0" autoFill="0" autoLine="0" autoPict="0">
                <anchor moveWithCells="1" sizeWithCells="1">
                  <from>
                    <xdr:col>14</xdr:col>
                    <xdr:colOff>107950</xdr:colOff>
                    <xdr:row>3</xdr:row>
                    <xdr:rowOff>184150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11" name="Check Box 5">
              <controlPr defaultSize="0" autoFill="0" autoLine="0" autoPict="0">
                <anchor moveWithCells="1" sizeWithCells="1">
                  <from>
                    <xdr:col>16</xdr:col>
                    <xdr:colOff>107950</xdr:colOff>
                    <xdr:row>2</xdr:row>
                    <xdr:rowOff>165100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2" name="Check Box 6">
              <controlPr defaultSize="0" autoFill="0" autoLine="0" autoPict="0">
                <anchor moveWithCells="1" sizeWithCells="1">
                  <from>
                    <xdr:col>16</xdr:col>
                    <xdr:colOff>107950</xdr:colOff>
                    <xdr:row>3</xdr:row>
                    <xdr:rowOff>184150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3" name="Button 7">
              <controlPr defaultSize="0" print="0" autoFill="0" autoPict="0" macro="[0]!runChecks">
                <anchor moveWithCells="1" sizeWithCells="1">
                  <from>
                    <xdr:col>27</xdr:col>
                    <xdr:colOff>0</xdr:colOff>
                    <xdr:row>11</xdr:row>
                    <xdr:rowOff>165100</xdr:rowOff>
                  </from>
                  <to>
                    <xdr:col>29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4" name="Button 8">
              <controlPr defaultSize="0" print="0" autoFill="0" autoPict="0" macro="[0]!Clear_Cells">
                <anchor moveWithCells="1" sizeWithCells="1">
                  <from>
                    <xdr:col>27</xdr:col>
                    <xdr:colOff>0</xdr:colOff>
                    <xdr:row>17</xdr:row>
                    <xdr:rowOff>0</xdr:rowOff>
                  </from>
                  <to>
                    <xdr:col>29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5" name="Button 9">
              <controlPr defaultSize="0" print="0" autoFill="0" autoPict="0" macro="[0]!Sheet3.PrintBtn">
                <anchor moveWithCells="1" sizeWithCells="1">
                  <from>
                    <xdr:col>27</xdr:col>
                    <xdr:colOff>0</xdr:colOff>
                    <xdr:row>9</xdr:row>
                    <xdr:rowOff>0</xdr:rowOff>
                  </from>
                  <to>
                    <xdr:col>29</xdr:col>
                    <xdr:colOff>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6" name="Button 10">
              <controlPr defaultSize="0" print="0" autoFill="0" autoPict="0" macro="[0]!Toggle_RAC_Line">
                <anchor>
                  <from>
                    <xdr:col>30</xdr:col>
                    <xdr:colOff>0</xdr:colOff>
                    <xdr:row>10</xdr:row>
                    <xdr:rowOff>0</xdr:rowOff>
                  </from>
                  <to>
                    <xdr:col>32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7" name="Button 11">
              <controlPr defaultSize="0" print="0" autoFill="0" autoPict="0" macro="[0]!Toggle_LAC_Line">
                <anchor>
                  <from>
                    <xdr:col>32</xdr:col>
                    <xdr:colOff>0</xdr:colOff>
                    <xdr:row>10</xdr:row>
                    <xdr:rowOff>0</xdr:rowOff>
                  </from>
                  <to>
                    <xdr:col>33</xdr:col>
                    <xdr:colOff>273050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8" name="Button 12">
              <controlPr defaultSize="0" print="0" autoFill="0" autoPict="0" macro="[0]!Toggle_RUnaided_Line">
                <anchor>
                  <from>
                    <xdr:col>30</xdr:col>
                    <xdr:colOff>0</xdr:colOff>
                    <xdr:row>14</xdr:row>
                    <xdr:rowOff>0</xdr:rowOff>
                  </from>
                  <to>
                    <xdr:col>32</xdr:col>
                    <xdr:colOff>0</xdr:colOff>
                    <xdr:row>15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9" name="Button 13">
              <controlPr defaultSize="0" print="0" autoFill="0" autoPict="0" macro="[0]!Toggle_RAided_Line">
                <anchor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0" name="Button 14">
              <controlPr defaultSize="0" print="0" autoFill="0" autoPict="0" macro="[0]!Toggle_LAided_Line">
                <anchor>
                  <from>
                    <xdr:col>32</xdr:col>
                    <xdr:colOff>0</xdr:colOff>
                    <xdr:row>12</xdr:row>
                    <xdr:rowOff>0</xdr:rowOff>
                  </from>
                  <to>
                    <xdr:col>33</xdr:col>
                    <xdr:colOff>273050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" name="Button 15">
              <controlPr defaultSize="0" print="0" autoFill="0" autoPict="0" macro="[0]!Toggle_LUnaided_Line">
                <anchor>
                  <from>
                    <xdr:col>32</xdr:col>
                    <xdr:colOff>0</xdr:colOff>
                    <xdr:row>14</xdr:row>
                    <xdr:rowOff>0</xdr:rowOff>
                  </from>
                  <to>
                    <xdr:col>33</xdr:col>
                    <xdr:colOff>273050</xdr:colOff>
                    <xdr:row>15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Register</vt:lpstr>
      <vt:lpstr>PTA</vt:lpstr>
      <vt:lpstr>PTA!Print_Area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Sanders</cp:lastModifiedBy>
  <cp:lastPrinted>2019-09-05T07:16:04Z</cp:lastPrinted>
  <dcterms:created xsi:type="dcterms:W3CDTF">2019-02-04T09:57:06Z</dcterms:created>
  <dcterms:modified xsi:type="dcterms:W3CDTF">2020-11-16T06:59:33Z</dcterms:modified>
</cp:coreProperties>
</file>